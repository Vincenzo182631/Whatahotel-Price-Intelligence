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redit Ledger" sheetId="1" state="visible" r:id="rId3"/>
    <sheet name="Payments" sheetId="2" state="visible" r:id="rId4"/>
    <sheet name="Customer Summary" sheetId="3" state="visible" r:id="rId5"/>
    <sheet name="Excluded (Cash)" sheetId="4" state="visible" r:id="rId6"/>
  </sheets>
  <definedNames>
    <definedName function="false" hidden="true" localSheetId="0" name="_xlnm._FilterDatabase" vbProcedure="false">'Credit Ledger'!$A$5:$M$45</definedName>
    <definedName function="false" hidden="true" localSheetId="2" name="_xlnm._FilterDatabase" vbProcedure="false">'Customer Summary'!$A$5:$G$34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Transcribed from the owner's 'Customer Sales &amp; Loan Ledger' screenshot, 29 Aug 2026. Unit prices, quantities and dates are exactly as written there; Total Amount is recomputed as Qty x Unit Price and agreed with every figure in the source.</t>
        </r>
      </text>
    </comment>
  </commentList>
</comments>
</file>

<file path=xl/sharedStrings.xml><?xml version="1.0" encoding="utf-8"?>
<sst xmlns="http://schemas.openxmlformats.org/spreadsheetml/2006/main" count="197" uniqueCount="88">
  <si>
    <t xml:space="preserve">RICE CREDIT LEDGER — SALES ON CREDIT &amp; OUTSTANDING BALANCES</t>
  </si>
  <si>
    <t xml:space="preserve">Source: 'Customer Sales &amp; Loan Ledger' provided by the owner, 29 Aug 2026. Credit transactions only (40 of 42 rows); the 2 cash rows are on the 'Excluded (Cash)' sheet.</t>
  </si>
  <si>
    <t xml:space="preserve">HOW TO USE: do not type anything on this sheet — it is all formulas. Record every payment on the 'Payments' sheet (yellow cells) using the Ledger ID from column A. Total Paid, Balance, Status and Last Payment update by themselves.</t>
  </si>
  <si>
    <t xml:space="preserve">Ledger ID</t>
  </si>
  <si>
    <t xml:space="preserve">Customer Name</t>
  </si>
  <si>
    <t xml:space="preserve">Contact Number</t>
  </si>
  <si>
    <t xml:space="preserve">Transaction Date</t>
  </si>
  <si>
    <t xml:space="preserve">Product Type</t>
  </si>
  <si>
    <t xml:space="preserve">Qty (Sacks)</t>
  </si>
  <si>
    <t xml:space="preserve">Unit Price (PHP)</t>
  </si>
  <si>
    <t xml:space="preserve">Total Amount (PHP)</t>
  </si>
  <si>
    <t xml:space="preserve">Total Paid (PHP)</t>
  </si>
  <si>
    <t xml:space="preserve">Balance Due (PHP)</t>
  </si>
  <si>
    <t xml:space="preserve">Status</t>
  </si>
  <si>
    <t xml:space="preserve">Last Payment</t>
  </si>
  <si>
    <t xml:space="preserve">Notes</t>
  </si>
  <si>
    <t xml:space="preserve">Lorna</t>
  </si>
  <si>
    <t xml:space="preserve">Rice (50 kg/sack)</t>
  </si>
  <si>
    <t xml:space="preserve">Ate Lenie</t>
  </si>
  <si>
    <t xml:space="preserve">Mingo</t>
  </si>
  <si>
    <t xml:space="preserve">Rice (25 kg/sack)</t>
  </si>
  <si>
    <t xml:space="preserve">Julius</t>
  </si>
  <si>
    <t xml:space="preserve">Junard</t>
  </si>
  <si>
    <t xml:space="preserve">Juaton Crossing</t>
  </si>
  <si>
    <t xml:space="preserve">Junjun SM</t>
  </si>
  <si>
    <t xml:space="preserve">Tita Susan</t>
  </si>
  <si>
    <t xml:space="preserve">Highlighted red in the source ledger — meaning to be confirmed.</t>
  </si>
  <si>
    <t xml:space="preserve">Ranny</t>
  </si>
  <si>
    <t xml:space="preserve">Romil</t>
  </si>
  <si>
    <t xml:space="preserve">Jun2x B</t>
  </si>
  <si>
    <t xml:space="preserve">Bryan</t>
  </si>
  <si>
    <t xml:space="preserve">JR</t>
  </si>
  <si>
    <t xml:space="preserve">Naldo</t>
  </si>
  <si>
    <t xml:space="preserve">Leonard</t>
  </si>
  <si>
    <t xml:space="preserve">Jen2x Crossing Catmon</t>
  </si>
  <si>
    <t xml:space="preserve">Tita Janeth</t>
  </si>
  <si>
    <t xml:space="preserve">Anghel</t>
  </si>
  <si>
    <t xml:space="preserve">Atan Verano</t>
  </si>
  <si>
    <t xml:space="preserve">Romel Sode</t>
  </si>
  <si>
    <t xml:space="preserve">Victor</t>
  </si>
  <si>
    <t xml:space="preserve">Highlighted grey in the source ledger — meaning to be confirmed.</t>
  </si>
  <si>
    <t xml:space="preserve">Leni</t>
  </si>
  <si>
    <t xml:space="preserve">Gulayan Nanay</t>
  </si>
  <si>
    <t xml:space="preserve">Papa</t>
  </si>
  <si>
    <t xml:space="preserve">Jun2x SM</t>
  </si>
  <si>
    <t xml:space="preserve">Kadok</t>
  </si>
  <si>
    <t xml:space="preserve">Gulayan Nanay 2</t>
  </si>
  <si>
    <t xml:space="preserve">Te lenie</t>
  </si>
  <si>
    <t xml:space="preserve">Same customer, qty and amount as an earlier row — confirm it is not a duplicate entry.</t>
  </si>
  <si>
    <t xml:space="preserve">(name blank in source)</t>
  </si>
  <si>
    <t xml:space="preserve">Customer name was blank in the source ledger — please fill in.</t>
  </si>
  <si>
    <t xml:space="preserve">TOTAL — 40 credit sales</t>
  </si>
  <si>
    <t xml:space="preserve">Legend</t>
  </si>
  <si>
    <t xml:space="preserve">Red rows</t>
  </si>
  <si>
    <t xml:space="preserve">Highlighted red in the original ledger. Copied across as-is — tell me what red means and I will turn it into a real column.</t>
  </si>
  <si>
    <t xml:space="preserve">Yellow rows</t>
  </si>
  <si>
    <t xml:space="preserve">Something to confirm: grey highlight in the original, a possible duplicate, or a missing customer name.</t>
  </si>
  <si>
    <t xml:space="preserve">Total Amount</t>
  </si>
  <si>
    <t xml:space="preserve">Qty x Unit Price. Recomputed from the source figures; every row matched the original ledger.</t>
  </si>
  <si>
    <t xml:space="preserve">Total Paid</t>
  </si>
  <si>
    <t xml:space="preserve">The sum of every payment on the 'Payments' sheet carrying this Ledger ID.</t>
  </si>
  <si>
    <t xml:space="preserve">PAID when the balance reaches zero, PARTIAL after a part payment, UNPAID until the first payment, OVERPAID if the payments exceed the sale.</t>
  </si>
  <si>
    <t xml:space="preserve">PAYMENTS RECEIVED</t>
  </si>
  <si>
    <t xml:space="preserve">One row per payment. A customer may pay in as many instalments as they like — just add another row.</t>
  </si>
  <si>
    <t xml:space="preserve">FILL IN THE YELLOW COLUMNS ONLY: Payment Date, Ledger ID, Amount Paid, Method, Notes. The Customer column fills itself from the Ledger ID, and the ledger updates automatically.</t>
  </si>
  <si>
    <t xml:space="preserve">Payment Date</t>
  </si>
  <si>
    <t xml:space="preserve">Customer (auto)</t>
  </si>
  <si>
    <t xml:space="preserve">Amount Paid (PHP)</t>
  </si>
  <si>
    <t xml:space="preserve">Method</t>
  </si>
  <si>
    <t xml:space="preserve">EXAMPLE — reference only, nothing here is counted</t>
  </si>
  <si>
    <t xml:space="preserve">CASH</t>
  </si>
  <si>
    <t xml:space="preserve">part payment, balance 700.00</t>
  </si>
  <si>
    <t xml:space="preserve">Anghel's 04 Jul sale is Ledger ID 20 for 1,400.00. Typing that row on the left makes the ledger show Total Paid 700.00, Balance 700.00, Status PARTIAL. Pay the rest later and it turns PAID.</t>
  </si>
  <si>
    <t xml:space="preserve">TOTAL COLLECTED</t>
  </si>
  <si>
    <t xml:space="preserve">OUTSTANDING BALANCE BY CUSTOMER</t>
  </si>
  <si>
    <t xml:space="preserve">Every figure here is a formula over the Credit Ledger. Nothing to type.</t>
  </si>
  <si>
    <t xml:space="preserve">Use this sheet when collecting: it is the running utang of each customer across all their sales.</t>
  </si>
  <si>
    <t xml:space="preserve">Sales</t>
  </si>
  <si>
    <t xml:space="preserve">Sacks</t>
  </si>
  <si>
    <t xml:space="preserve">Total Credit (PHP)</t>
  </si>
  <si>
    <t xml:space="preserve">TOTAL — 29 customers</t>
  </si>
  <si>
    <t xml:space="preserve">Note: names are grouped exactly as written in the source ledger. If two spellings are the same person (e.g. 'Ate Lenie' / 'Te lenie'), tell me and I will merge them.</t>
  </si>
  <si>
    <t xml:space="preserve">ROWS EXCLUDED FROM THE CREDIT LEDGER</t>
  </si>
  <si>
    <t xml:space="preserve">These two rows are marked CASH in the source ledger, so they carry no balance and are kept here for the record.</t>
  </si>
  <si>
    <t xml:space="preserve">If either one was actually on credit, tell me and I will move it into the Credit Ledger.</t>
  </si>
  <si>
    <t xml:space="preserve">Payment Method</t>
  </si>
  <si>
    <t xml:space="preserve">Nanay Juaton</t>
  </si>
  <si>
    <t xml:space="preserve">Catmon Tinadahan</t>
  </si>
</sst>
</file>

<file path=xl/styles.xml><?xml version="1.0" encoding="utf-8"?>
<styleSheet xmlns="http://schemas.openxmlformats.org/spreadsheetml/2006/main">
  <numFmts count="5">
    <numFmt numFmtId="164" formatCode="General"/>
    <numFmt numFmtId="165" formatCode="mm/dd/yyyy"/>
    <numFmt numFmtId="166" formatCode="#,##0.00;\(#,##0.00\);\-"/>
    <numFmt numFmtId="167" formatCode="General"/>
    <numFmt numFmtId="168" formatCode="#,##0.00"/>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sz val="9"/>
      <color rgb="FF7F6000"/>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color rgb="FF7F6000"/>
      <name val="Arial"/>
      <family val="0"/>
      <charset val="1"/>
    </font>
    <font>
      <b val="true"/>
      <sz val="11"/>
      <color rgb="FFFFFFFF"/>
      <name val="Arial"/>
      <family val="0"/>
      <charset val="1"/>
    </font>
    <font>
      <b val="true"/>
      <sz val="10"/>
      <color rgb="FF1F3864"/>
      <name val="Arial"/>
      <family val="0"/>
      <charset val="1"/>
    </font>
    <font>
      <b val="true"/>
      <sz val="9"/>
      <name val="Arial"/>
      <family val="0"/>
      <charset val="1"/>
    </font>
    <font>
      <sz val="9"/>
      <color rgb="FF595959"/>
      <name val="Arial"/>
      <family val="0"/>
      <charset val="1"/>
    </font>
    <font>
      <sz val="10"/>
      <name val="Arial"/>
      <family val="2"/>
    </font>
    <font>
      <i val="true"/>
      <sz val="10"/>
      <color rgb="FF595959"/>
      <name val="Arial"/>
      <family val="0"/>
      <charset val="1"/>
    </font>
    <font>
      <b val="true"/>
      <sz val="9"/>
      <color rgb="FF595959"/>
      <name val="Arial"/>
      <family val="0"/>
      <charset val="1"/>
    </font>
  </fonts>
  <fills count="8">
    <fill>
      <patternFill patternType="none"/>
    </fill>
    <fill>
      <patternFill patternType="gray125"/>
    </fill>
    <fill>
      <patternFill patternType="solid">
        <fgColor rgb="FFFFF2CC"/>
        <bgColor rgb="FFF2F5FA"/>
      </patternFill>
    </fill>
    <fill>
      <patternFill patternType="solid">
        <fgColor rgb="FF1F3864"/>
        <bgColor rgb="FF333333"/>
      </patternFill>
    </fill>
    <fill>
      <patternFill patternType="solid">
        <fgColor rgb="FFF2F5FA"/>
        <bgColor rgb="FFFFFFFF"/>
      </patternFill>
    </fill>
    <fill>
      <patternFill patternType="solid">
        <fgColor rgb="FFFFC7CE"/>
        <bgColor rgb="FFD9D9D9"/>
      </patternFill>
    </fill>
    <fill>
      <patternFill patternType="solid">
        <fgColor rgb="FFFFFF00"/>
        <bgColor rgb="FFFFFF00"/>
      </patternFill>
    </fill>
    <fill>
      <patternFill patternType="solid">
        <fgColor rgb="FFD9D9D9"/>
        <bgColor rgb="FFFFC7CE"/>
      </patternFill>
    </fill>
  </fills>
  <borders count="2">
    <border diagonalUp="false" diagonalDown="false">
      <left/>
      <right/>
      <top/>
      <bottom/>
      <diagonal/>
    </border>
    <border diagonalUp="false" diagonalDown="false">
      <left style="thin">
        <color rgb="FFB7BFCC"/>
      </left>
      <right style="thin">
        <color rgb="FFB7BFCC"/>
      </right>
      <top style="thin">
        <color rgb="FFB7BFCC"/>
      </top>
      <bottom style="thin">
        <color rgb="FFB7BF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5" fontId="8"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5" fontId="8" fillId="5" borderId="1"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5" fontId="8" fillId="6"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17" fillId="7"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2F5FA"/>
          <bgColor rgb="FF000000"/>
        </patternFill>
      </fill>
    </dxf>
    <dxf>
      <fill>
        <patternFill patternType="solid">
          <fgColor rgb="FFFFC7CE"/>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7F6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7BFCC"/>
      <rgbColor rgb="FF808080"/>
      <rgbColor rgb="FF9999FF"/>
      <rgbColor rgb="FF993366"/>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6"/>
    <col collapsed="false" customWidth="true" hidden="false" outlineLevel="0" max="4" min="4" style="0" width="15"/>
    <col collapsed="false" customWidth="true" hidden="false" outlineLevel="0" max="5" min="5" style="0" width="19"/>
    <col collapsed="false" customWidth="true" hidden="false" outlineLevel="0" max="6" min="6" style="0" width="11"/>
    <col collapsed="false" customWidth="true" hidden="false" outlineLevel="0" max="7" min="7" style="0" width="15"/>
    <col collapsed="false" customWidth="true" hidden="false" outlineLevel="0" max="8" min="8" style="0" width="17"/>
    <col collapsed="false" customWidth="true" hidden="false" outlineLevel="0" max="9" min="9" style="0" width="15"/>
    <col collapsed="false" customWidth="true" hidden="false" outlineLevel="0" max="10" min="10" style="0" width="16"/>
    <col collapsed="false" customWidth="true" hidden="false" outlineLevel="0" max="11" min="11" style="0" width="11"/>
    <col collapsed="false" customWidth="true" hidden="false" outlineLevel="0" max="12" min="12" style="0" width="13"/>
    <col collapsed="false" customWidth="true" hidden="false" outlineLevel="0" max="13" min="13" style="0" width="46"/>
  </cols>
  <sheetData>
    <row r="1" customFormat="false" ht="21.75" hidden="false" customHeight="true" outlineLevel="0" collapsed="false">
      <c r="A1" s="1" t="s">
        <v>0</v>
      </c>
      <c r="B1" s="1"/>
      <c r="C1" s="1"/>
      <c r="D1" s="1"/>
      <c r="E1" s="1"/>
      <c r="F1" s="1"/>
      <c r="G1" s="1"/>
      <c r="H1" s="1"/>
      <c r="I1" s="1"/>
      <c r="J1" s="1"/>
      <c r="K1" s="1"/>
      <c r="L1" s="1"/>
      <c r="M1" s="1"/>
    </row>
    <row r="2" customFormat="false" ht="15" hidden="false" customHeight="false" outlineLevel="0" collapsed="false">
      <c r="A2" s="2" t="s">
        <v>1</v>
      </c>
      <c r="B2" s="2"/>
      <c r="C2" s="2"/>
      <c r="D2" s="2"/>
      <c r="E2" s="2"/>
      <c r="F2" s="2"/>
      <c r="G2" s="2"/>
      <c r="H2" s="2"/>
      <c r="I2" s="2"/>
      <c r="J2" s="2"/>
      <c r="K2" s="2"/>
      <c r="L2" s="2"/>
      <c r="M2" s="2"/>
    </row>
    <row r="3" customFormat="false" ht="15.75" hidden="false" customHeight="true" outlineLevel="0" collapsed="false">
      <c r="A3" s="3" t="s">
        <v>2</v>
      </c>
      <c r="B3" s="3"/>
      <c r="C3" s="3"/>
      <c r="D3" s="3"/>
      <c r="E3" s="3"/>
      <c r="F3" s="3"/>
      <c r="G3" s="3"/>
      <c r="H3" s="3"/>
      <c r="I3" s="3"/>
      <c r="J3" s="3"/>
      <c r="K3" s="3"/>
      <c r="L3" s="3"/>
      <c r="M3" s="3"/>
    </row>
    <row r="5" customFormat="false" ht="30" hidden="false" customHeight="true" outlineLevel="0" collapsed="false">
      <c r="A5" s="4" t="s">
        <v>3</v>
      </c>
      <c r="B5" s="4" t="s">
        <v>4</v>
      </c>
      <c r="C5" s="4" t="s">
        <v>5</v>
      </c>
      <c r="D5" s="4" t="s">
        <v>6</v>
      </c>
      <c r="E5" s="4" t="s">
        <v>7</v>
      </c>
      <c r="F5" s="4" t="s">
        <v>8</v>
      </c>
      <c r="G5" s="4" t="s">
        <v>9</v>
      </c>
      <c r="H5" s="4" t="s">
        <v>10</v>
      </c>
      <c r="I5" s="4" t="s">
        <v>11</v>
      </c>
      <c r="J5" s="4" t="s">
        <v>12</v>
      </c>
      <c r="K5" s="4" t="s">
        <v>13</v>
      </c>
      <c r="L5" s="4" t="s">
        <v>14</v>
      </c>
      <c r="M5" s="4" t="s">
        <v>15</v>
      </c>
    </row>
    <row r="6" customFormat="false" ht="15" hidden="false" customHeight="false" outlineLevel="0" collapsed="false">
      <c r="A6" s="5" t="n">
        <v>1</v>
      </c>
      <c r="B6" s="6" t="s">
        <v>16</v>
      </c>
      <c r="C6" s="6"/>
      <c r="D6" s="7" t="n">
        <v>46181</v>
      </c>
      <c r="E6" s="6" t="s">
        <v>17</v>
      </c>
      <c r="F6" s="5" t="n">
        <v>1</v>
      </c>
      <c r="G6" s="8" t="n">
        <v>2800</v>
      </c>
      <c r="H6" s="8" t="n">
        <f aca="false">F6*G6</f>
        <v>2800</v>
      </c>
      <c r="I6" s="8" t="n">
        <f aca="false">SUMIF(Payments!$B$6:$B$305,$A6,Payments!$D$6:$D$305)</f>
        <v>0</v>
      </c>
      <c r="J6" s="8" t="n">
        <f aca="false">H6-I6</f>
        <v>2800</v>
      </c>
      <c r="K6" s="9" t="str">
        <f aca="false">IF($H6=0,"",IF(ROUND($J6,2)&lt;0,"OVERPAID",IF(ROUND($J6,2)=0,"PAID",IF($I6&gt;0,"PARTIAL","UNPAID"))))</f>
        <v>UNPAID</v>
      </c>
      <c r="L6" s="10" t="str">
        <f aca="false">IF(SUMPRODUCT(MAX((Payments!$B$6:$B$305=$A6)*Payments!$A$6:$A$305))=0,"",SUMPRODUCT(MAX((Payments!$B$6:$B$305=$A6)*Payments!$A$6:$A$305)))</f>
        <v/>
      </c>
      <c r="M6" s="11"/>
    </row>
    <row r="7" customFormat="false" ht="15" hidden="false" customHeight="false" outlineLevel="0" collapsed="false">
      <c r="A7" s="12" t="n">
        <v>2</v>
      </c>
      <c r="B7" s="13" t="s">
        <v>18</v>
      </c>
      <c r="C7" s="13"/>
      <c r="D7" s="14" t="n">
        <v>46181</v>
      </c>
      <c r="E7" s="13" t="s">
        <v>17</v>
      </c>
      <c r="F7" s="12" t="n">
        <v>1</v>
      </c>
      <c r="G7" s="15" t="n">
        <v>2800</v>
      </c>
      <c r="H7" s="15" t="n">
        <f aca="false">F7*G7</f>
        <v>2800</v>
      </c>
      <c r="I7" s="15" t="n">
        <f aca="false">SUMIF(Payments!$B$6:$B$305,$A7,Payments!$D$6:$D$305)</f>
        <v>0</v>
      </c>
      <c r="J7" s="15" t="n">
        <f aca="false">H7-I7</f>
        <v>2800</v>
      </c>
      <c r="K7" s="16" t="str">
        <f aca="false">IF($H7=0,"",IF(ROUND($J7,2)&lt;0,"OVERPAID",IF(ROUND($J7,2)=0,"PAID",IF($I7&gt;0,"PARTIAL","UNPAID"))))</f>
        <v>UNPAID</v>
      </c>
      <c r="L7" s="17" t="str">
        <f aca="false">IF(SUMPRODUCT(MAX((Payments!$B$6:$B$305=$A7)*Payments!$A$6:$A$305))=0,"",SUMPRODUCT(MAX((Payments!$B$6:$B$305=$A7)*Payments!$A$6:$A$305)))</f>
        <v/>
      </c>
      <c r="M7" s="18"/>
    </row>
    <row r="8" customFormat="false" ht="15" hidden="false" customHeight="false" outlineLevel="0" collapsed="false">
      <c r="A8" s="5" t="n">
        <v>3</v>
      </c>
      <c r="B8" s="6" t="s">
        <v>19</v>
      </c>
      <c r="C8" s="6"/>
      <c r="D8" s="7" t="n">
        <v>46188</v>
      </c>
      <c r="E8" s="6" t="s">
        <v>20</v>
      </c>
      <c r="F8" s="5" t="n">
        <v>2</v>
      </c>
      <c r="G8" s="8" t="n">
        <v>1400</v>
      </c>
      <c r="H8" s="8" t="n">
        <f aca="false">F8*G8</f>
        <v>2800</v>
      </c>
      <c r="I8" s="8" t="n">
        <f aca="false">SUMIF(Payments!$B$6:$B$305,$A8,Payments!$D$6:$D$305)</f>
        <v>0</v>
      </c>
      <c r="J8" s="8" t="n">
        <f aca="false">H8-I8</f>
        <v>2800</v>
      </c>
      <c r="K8" s="9" t="str">
        <f aca="false">IF($H8=0,"",IF(ROUND($J8,2)&lt;0,"OVERPAID",IF(ROUND($J8,2)=0,"PAID",IF($I8&gt;0,"PARTIAL","UNPAID"))))</f>
        <v>UNPAID</v>
      </c>
      <c r="L8" s="10" t="str">
        <f aca="false">IF(SUMPRODUCT(MAX((Payments!$B$6:$B$305=$A8)*Payments!$A$6:$A$305))=0,"",SUMPRODUCT(MAX((Payments!$B$6:$B$305=$A8)*Payments!$A$6:$A$305)))</f>
        <v/>
      </c>
      <c r="M8" s="11"/>
    </row>
    <row r="9" customFormat="false" ht="15" hidden="false" customHeight="false" outlineLevel="0" collapsed="false">
      <c r="A9" s="12" t="n">
        <v>4</v>
      </c>
      <c r="B9" s="13" t="s">
        <v>21</v>
      </c>
      <c r="C9" s="13"/>
      <c r="D9" s="14" t="n">
        <v>46189</v>
      </c>
      <c r="E9" s="13" t="s">
        <v>20</v>
      </c>
      <c r="F9" s="12" t="n">
        <v>1</v>
      </c>
      <c r="G9" s="15" t="n">
        <v>1400</v>
      </c>
      <c r="H9" s="15" t="n">
        <f aca="false">F9*G9</f>
        <v>1400</v>
      </c>
      <c r="I9" s="15" t="n">
        <f aca="false">SUMIF(Payments!$B$6:$B$305,$A9,Payments!$D$6:$D$305)</f>
        <v>0</v>
      </c>
      <c r="J9" s="15" t="n">
        <f aca="false">H9-I9</f>
        <v>1400</v>
      </c>
      <c r="K9" s="16" t="str">
        <f aca="false">IF($H9=0,"",IF(ROUND($J9,2)&lt;0,"OVERPAID",IF(ROUND($J9,2)=0,"PAID",IF($I9&gt;0,"PARTIAL","UNPAID"))))</f>
        <v>UNPAID</v>
      </c>
      <c r="L9" s="17" t="str">
        <f aca="false">IF(SUMPRODUCT(MAX((Payments!$B$6:$B$305=$A9)*Payments!$A$6:$A$305))=0,"",SUMPRODUCT(MAX((Payments!$B$6:$B$305=$A9)*Payments!$A$6:$A$305)))</f>
        <v/>
      </c>
      <c r="M9" s="18"/>
    </row>
    <row r="10" customFormat="false" ht="15" hidden="false" customHeight="false" outlineLevel="0" collapsed="false">
      <c r="A10" s="5" t="n">
        <v>5</v>
      </c>
      <c r="B10" s="6" t="s">
        <v>22</v>
      </c>
      <c r="C10" s="6"/>
      <c r="D10" s="7" t="n">
        <v>46189</v>
      </c>
      <c r="E10" s="6" t="s">
        <v>20</v>
      </c>
      <c r="F10" s="5" t="n">
        <v>1</v>
      </c>
      <c r="G10" s="8" t="n">
        <v>1400</v>
      </c>
      <c r="H10" s="8" t="n">
        <f aca="false">F10*G10</f>
        <v>1400</v>
      </c>
      <c r="I10" s="8" t="n">
        <f aca="false">SUMIF(Payments!$B$6:$B$305,$A10,Payments!$D$6:$D$305)</f>
        <v>0</v>
      </c>
      <c r="J10" s="8" t="n">
        <f aca="false">H10-I10</f>
        <v>1400</v>
      </c>
      <c r="K10" s="9" t="str">
        <f aca="false">IF($H10=0,"",IF(ROUND($J10,2)&lt;0,"OVERPAID",IF(ROUND($J10,2)=0,"PAID",IF($I10&gt;0,"PARTIAL","UNPAID"))))</f>
        <v>UNPAID</v>
      </c>
      <c r="L10" s="10" t="str">
        <f aca="false">IF(SUMPRODUCT(MAX((Payments!$B$6:$B$305=$A10)*Payments!$A$6:$A$305))=0,"",SUMPRODUCT(MAX((Payments!$B$6:$B$305=$A10)*Payments!$A$6:$A$305)))</f>
        <v/>
      </c>
      <c r="M10" s="11"/>
    </row>
    <row r="11" customFormat="false" ht="15" hidden="false" customHeight="false" outlineLevel="0" collapsed="false">
      <c r="A11" s="12" t="n">
        <v>6</v>
      </c>
      <c r="B11" s="13" t="s">
        <v>23</v>
      </c>
      <c r="C11" s="13"/>
      <c r="D11" s="14" t="n">
        <v>46191</v>
      </c>
      <c r="E11" s="13" t="s">
        <v>20</v>
      </c>
      <c r="F11" s="12" t="n">
        <v>2</v>
      </c>
      <c r="G11" s="15" t="n">
        <v>1400</v>
      </c>
      <c r="H11" s="15" t="n">
        <f aca="false">F11*G11</f>
        <v>2800</v>
      </c>
      <c r="I11" s="15" t="n">
        <f aca="false">SUMIF(Payments!$B$6:$B$305,$A11,Payments!$D$6:$D$305)</f>
        <v>0</v>
      </c>
      <c r="J11" s="15" t="n">
        <f aca="false">H11-I11</f>
        <v>2800</v>
      </c>
      <c r="K11" s="16" t="str">
        <f aca="false">IF($H11=0,"",IF(ROUND($J11,2)&lt;0,"OVERPAID",IF(ROUND($J11,2)=0,"PAID",IF($I11&gt;0,"PARTIAL","UNPAID"))))</f>
        <v>UNPAID</v>
      </c>
      <c r="L11" s="17" t="str">
        <f aca="false">IF(SUMPRODUCT(MAX((Payments!$B$6:$B$305=$A11)*Payments!$A$6:$A$305))=0,"",SUMPRODUCT(MAX((Payments!$B$6:$B$305=$A11)*Payments!$A$6:$A$305)))</f>
        <v/>
      </c>
      <c r="M11" s="18"/>
    </row>
    <row r="12" customFormat="false" ht="15" hidden="false" customHeight="false" outlineLevel="0" collapsed="false">
      <c r="A12" s="5" t="n">
        <v>7</v>
      </c>
      <c r="B12" s="6" t="s">
        <v>24</v>
      </c>
      <c r="C12" s="6"/>
      <c r="D12" s="7" t="n">
        <v>46193</v>
      </c>
      <c r="E12" s="6" t="s">
        <v>20</v>
      </c>
      <c r="F12" s="5" t="n">
        <v>1</v>
      </c>
      <c r="G12" s="8" t="n">
        <v>1400</v>
      </c>
      <c r="H12" s="8" t="n">
        <f aca="false">F12*G12</f>
        <v>1400</v>
      </c>
      <c r="I12" s="8" t="n">
        <f aca="false">SUMIF(Payments!$B$6:$B$305,$A12,Payments!$D$6:$D$305)</f>
        <v>0</v>
      </c>
      <c r="J12" s="8" t="n">
        <f aca="false">H12-I12</f>
        <v>1400</v>
      </c>
      <c r="K12" s="9" t="str">
        <f aca="false">IF($H12=0,"",IF(ROUND($J12,2)&lt;0,"OVERPAID",IF(ROUND($J12,2)=0,"PAID",IF($I12&gt;0,"PARTIAL","UNPAID"))))</f>
        <v>UNPAID</v>
      </c>
      <c r="L12" s="10" t="str">
        <f aca="false">IF(SUMPRODUCT(MAX((Payments!$B$6:$B$305=$A12)*Payments!$A$6:$A$305))=0,"",SUMPRODUCT(MAX((Payments!$B$6:$B$305=$A12)*Payments!$A$6:$A$305)))</f>
        <v/>
      </c>
      <c r="M12" s="11"/>
    </row>
    <row r="13" customFormat="false" ht="15" hidden="false" customHeight="false" outlineLevel="0" collapsed="false">
      <c r="A13" s="19" t="n">
        <v>8</v>
      </c>
      <c r="B13" s="20" t="s">
        <v>25</v>
      </c>
      <c r="C13" s="20"/>
      <c r="D13" s="21" t="n">
        <v>46194</v>
      </c>
      <c r="E13" s="20" t="s">
        <v>20</v>
      </c>
      <c r="F13" s="19" t="n">
        <v>1</v>
      </c>
      <c r="G13" s="22" t="n">
        <v>1400</v>
      </c>
      <c r="H13" s="22" t="n">
        <f aca="false">F13*G13</f>
        <v>1400</v>
      </c>
      <c r="I13" s="22" t="n">
        <f aca="false">SUMIF(Payments!$B$6:$B$305,$A13,Payments!$D$6:$D$305)</f>
        <v>0</v>
      </c>
      <c r="J13" s="22" t="n">
        <f aca="false">H13-I13</f>
        <v>1400</v>
      </c>
      <c r="K13" s="23" t="str">
        <f aca="false">IF($H13=0,"",IF(ROUND($J13,2)&lt;0,"OVERPAID",IF(ROUND($J13,2)=0,"PAID",IF($I13&gt;0,"PARTIAL","UNPAID"))))</f>
        <v>UNPAID</v>
      </c>
      <c r="L13" s="24" t="str">
        <f aca="false">IF(SUMPRODUCT(MAX((Payments!$B$6:$B$305=$A13)*Payments!$A$6:$A$305))=0,"",SUMPRODUCT(MAX((Payments!$B$6:$B$305=$A13)*Payments!$A$6:$A$305)))</f>
        <v/>
      </c>
      <c r="M13" s="25" t="s">
        <v>26</v>
      </c>
    </row>
    <row r="14" customFormat="false" ht="15" hidden="false" customHeight="false" outlineLevel="0" collapsed="false">
      <c r="A14" s="19" t="n">
        <v>9</v>
      </c>
      <c r="B14" s="20" t="s">
        <v>23</v>
      </c>
      <c r="C14" s="20"/>
      <c r="D14" s="21" t="n">
        <v>46193</v>
      </c>
      <c r="E14" s="20" t="s">
        <v>17</v>
      </c>
      <c r="F14" s="19" t="n">
        <v>2</v>
      </c>
      <c r="G14" s="22" t="n">
        <v>2800</v>
      </c>
      <c r="H14" s="22" t="n">
        <f aca="false">F14*G14</f>
        <v>5600</v>
      </c>
      <c r="I14" s="22" t="n">
        <f aca="false">SUMIF(Payments!$B$6:$B$305,$A14,Payments!$D$6:$D$305)</f>
        <v>0</v>
      </c>
      <c r="J14" s="22" t="n">
        <f aca="false">H14-I14</f>
        <v>5600</v>
      </c>
      <c r="K14" s="23" t="str">
        <f aca="false">IF($H14=0,"",IF(ROUND($J14,2)&lt;0,"OVERPAID",IF(ROUND($J14,2)=0,"PAID",IF($I14&gt;0,"PARTIAL","UNPAID"))))</f>
        <v>UNPAID</v>
      </c>
      <c r="L14" s="24" t="str">
        <f aca="false">IF(SUMPRODUCT(MAX((Payments!$B$6:$B$305=$A14)*Payments!$A$6:$A$305))=0,"",SUMPRODUCT(MAX((Payments!$B$6:$B$305=$A14)*Payments!$A$6:$A$305)))</f>
        <v/>
      </c>
      <c r="M14" s="25" t="s">
        <v>26</v>
      </c>
    </row>
    <row r="15" customFormat="false" ht="15" hidden="false" customHeight="false" outlineLevel="0" collapsed="false">
      <c r="A15" s="19" t="n">
        <v>10</v>
      </c>
      <c r="B15" s="20" t="s">
        <v>27</v>
      </c>
      <c r="C15" s="20"/>
      <c r="D15" s="21" t="n">
        <v>46193</v>
      </c>
      <c r="E15" s="20" t="s">
        <v>17</v>
      </c>
      <c r="F15" s="19" t="n">
        <v>1</v>
      </c>
      <c r="G15" s="22" t="n">
        <v>2800</v>
      </c>
      <c r="H15" s="22" t="n">
        <f aca="false">F15*G15</f>
        <v>2800</v>
      </c>
      <c r="I15" s="22" t="n">
        <f aca="false">SUMIF(Payments!$B$6:$B$305,$A15,Payments!$D$6:$D$305)</f>
        <v>0</v>
      </c>
      <c r="J15" s="22" t="n">
        <f aca="false">H15-I15</f>
        <v>2800</v>
      </c>
      <c r="K15" s="23" t="str">
        <f aca="false">IF($H15=0,"",IF(ROUND($J15,2)&lt;0,"OVERPAID",IF(ROUND($J15,2)=0,"PAID",IF($I15&gt;0,"PARTIAL","UNPAID"))))</f>
        <v>UNPAID</v>
      </c>
      <c r="L15" s="24" t="str">
        <f aca="false">IF(SUMPRODUCT(MAX((Payments!$B$6:$B$305=$A15)*Payments!$A$6:$A$305))=0,"",SUMPRODUCT(MAX((Payments!$B$6:$B$305=$A15)*Payments!$A$6:$A$305)))</f>
        <v/>
      </c>
      <c r="M15" s="25" t="s">
        <v>26</v>
      </c>
    </row>
    <row r="16" customFormat="false" ht="15" hidden="false" customHeight="false" outlineLevel="0" collapsed="false">
      <c r="A16" s="5" t="n">
        <v>11</v>
      </c>
      <c r="B16" s="6" t="s">
        <v>28</v>
      </c>
      <c r="C16" s="6"/>
      <c r="D16" s="7" t="n">
        <v>46195</v>
      </c>
      <c r="E16" s="6" t="s">
        <v>20</v>
      </c>
      <c r="F16" s="5" t="n">
        <v>1</v>
      </c>
      <c r="G16" s="8" t="n">
        <v>1400</v>
      </c>
      <c r="H16" s="8" t="n">
        <f aca="false">F16*G16</f>
        <v>1400</v>
      </c>
      <c r="I16" s="8" t="n">
        <f aca="false">SUMIF(Payments!$B$6:$B$305,$A16,Payments!$D$6:$D$305)</f>
        <v>0</v>
      </c>
      <c r="J16" s="8" t="n">
        <f aca="false">H16-I16</f>
        <v>1400</v>
      </c>
      <c r="K16" s="9" t="str">
        <f aca="false">IF($H16=0,"",IF(ROUND($J16,2)&lt;0,"OVERPAID",IF(ROUND($J16,2)=0,"PAID",IF($I16&gt;0,"PARTIAL","UNPAID"))))</f>
        <v>UNPAID</v>
      </c>
      <c r="L16" s="10" t="str">
        <f aca="false">IF(SUMPRODUCT(MAX((Payments!$B$6:$B$305=$A16)*Payments!$A$6:$A$305))=0,"",SUMPRODUCT(MAX((Payments!$B$6:$B$305=$A16)*Payments!$A$6:$A$305)))</f>
        <v/>
      </c>
      <c r="M16" s="11"/>
    </row>
    <row r="17" customFormat="false" ht="15" hidden="false" customHeight="false" outlineLevel="0" collapsed="false">
      <c r="A17" s="12" t="n">
        <v>12</v>
      </c>
      <c r="B17" s="13" t="s">
        <v>29</v>
      </c>
      <c r="C17" s="13"/>
      <c r="D17" s="14" t="n">
        <v>46195</v>
      </c>
      <c r="E17" s="13" t="s">
        <v>20</v>
      </c>
      <c r="F17" s="12" t="n">
        <v>1</v>
      </c>
      <c r="G17" s="15" t="n">
        <v>1400</v>
      </c>
      <c r="H17" s="15" t="n">
        <f aca="false">F17*G17</f>
        <v>1400</v>
      </c>
      <c r="I17" s="15" t="n">
        <f aca="false">SUMIF(Payments!$B$6:$B$305,$A17,Payments!$D$6:$D$305)</f>
        <v>0</v>
      </c>
      <c r="J17" s="15" t="n">
        <f aca="false">H17-I17</f>
        <v>1400</v>
      </c>
      <c r="K17" s="16" t="str">
        <f aca="false">IF($H17=0,"",IF(ROUND($J17,2)&lt;0,"OVERPAID",IF(ROUND($J17,2)=0,"PAID",IF($I17&gt;0,"PARTIAL","UNPAID"))))</f>
        <v>UNPAID</v>
      </c>
      <c r="L17" s="17" t="str">
        <f aca="false">IF(SUMPRODUCT(MAX((Payments!$B$6:$B$305=$A17)*Payments!$A$6:$A$305))=0,"",SUMPRODUCT(MAX((Payments!$B$6:$B$305=$A17)*Payments!$A$6:$A$305)))</f>
        <v/>
      </c>
      <c r="M17" s="18"/>
    </row>
    <row r="18" customFormat="false" ht="15" hidden="false" customHeight="false" outlineLevel="0" collapsed="false">
      <c r="A18" s="5" t="n">
        <v>13</v>
      </c>
      <c r="B18" s="6" t="s">
        <v>30</v>
      </c>
      <c r="C18" s="6"/>
      <c r="D18" s="7" t="n">
        <v>46195</v>
      </c>
      <c r="E18" s="6" t="s">
        <v>20</v>
      </c>
      <c r="F18" s="5" t="n">
        <v>1</v>
      </c>
      <c r="G18" s="8" t="n">
        <v>1400</v>
      </c>
      <c r="H18" s="8" t="n">
        <f aca="false">F18*G18</f>
        <v>1400</v>
      </c>
      <c r="I18" s="8" t="n">
        <f aca="false">SUMIF(Payments!$B$6:$B$305,$A18,Payments!$D$6:$D$305)</f>
        <v>0</v>
      </c>
      <c r="J18" s="8" t="n">
        <f aca="false">H18-I18</f>
        <v>1400</v>
      </c>
      <c r="K18" s="9" t="str">
        <f aca="false">IF($H18=0,"",IF(ROUND($J18,2)&lt;0,"OVERPAID",IF(ROUND($J18,2)=0,"PAID",IF($I18&gt;0,"PARTIAL","UNPAID"))))</f>
        <v>UNPAID</v>
      </c>
      <c r="L18" s="10" t="str">
        <f aca="false">IF(SUMPRODUCT(MAX((Payments!$B$6:$B$305=$A18)*Payments!$A$6:$A$305))=0,"",SUMPRODUCT(MAX((Payments!$B$6:$B$305=$A18)*Payments!$A$6:$A$305)))</f>
        <v/>
      </c>
      <c r="M18" s="11"/>
    </row>
    <row r="19" customFormat="false" ht="15" hidden="false" customHeight="false" outlineLevel="0" collapsed="false">
      <c r="A19" s="12" t="n">
        <v>14</v>
      </c>
      <c r="B19" s="13" t="s">
        <v>31</v>
      </c>
      <c r="C19" s="13"/>
      <c r="D19" s="14" t="n">
        <v>46195</v>
      </c>
      <c r="E19" s="13" t="s">
        <v>20</v>
      </c>
      <c r="F19" s="12" t="n">
        <v>1</v>
      </c>
      <c r="G19" s="15" t="n">
        <v>1400</v>
      </c>
      <c r="H19" s="15" t="n">
        <f aca="false">F19*G19</f>
        <v>1400</v>
      </c>
      <c r="I19" s="15" t="n">
        <f aca="false">SUMIF(Payments!$B$6:$B$305,$A19,Payments!$D$6:$D$305)</f>
        <v>0</v>
      </c>
      <c r="J19" s="15" t="n">
        <f aca="false">H19-I19</f>
        <v>1400</v>
      </c>
      <c r="K19" s="16" t="str">
        <f aca="false">IF($H19=0,"",IF(ROUND($J19,2)&lt;0,"OVERPAID",IF(ROUND($J19,2)=0,"PAID",IF($I19&gt;0,"PARTIAL","UNPAID"))))</f>
        <v>UNPAID</v>
      </c>
      <c r="L19" s="17" t="str">
        <f aca="false">IF(SUMPRODUCT(MAX((Payments!$B$6:$B$305=$A19)*Payments!$A$6:$A$305))=0,"",SUMPRODUCT(MAX((Payments!$B$6:$B$305=$A19)*Payments!$A$6:$A$305)))</f>
        <v/>
      </c>
      <c r="M19" s="18"/>
    </row>
    <row r="20" customFormat="false" ht="15" hidden="false" customHeight="false" outlineLevel="0" collapsed="false">
      <c r="A20" s="5" t="n">
        <v>15</v>
      </c>
      <c r="B20" s="6" t="s">
        <v>32</v>
      </c>
      <c r="C20" s="6"/>
      <c r="D20" s="7" t="n">
        <v>46195</v>
      </c>
      <c r="E20" s="6" t="s">
        <v>20</v>
      </c>
      <c r="F20" s="5" t="n">
        <v>1</v>
      </c>
      <c r="G20" s="8" t="n">
        <v>1400</v>
      </c>
      <c r="H20" s="8" t="n">
        <f aca="false">F20*G20</f>
        <v>1400</v>
      </c>
      <c r="I20" s="8" t="n">
        <f aca="false">SUMIF(Payments!$B$6:$B$305,$A20,Payments!$D$6:$D$305)</f>
        <v>0</v>
      </c>
      <c r="J20" s="8" t="n">
        <f aca="false">H20-I20</f>
        <v>1400</v>
      </c>
      <c r="K20" s="9" t="str">
        <f aca="false">IF($H20=0,"",IF(ROUND($J20,2)&lt;0,"OVERPAID",IF(ROUND($J20,2)=0,"PAID",IF($I20&gt;0,"PARTIAL","UNPAID"))))</f>
        <v>UNPAID</v>
      </c>
      <c r="L20" s="10" t="str">
        <f aca="false">IF(SUMPRODUCT(MAX((Payments!$B$6:$B$305=$A20)*Payments!$A$6:$A$305))=0,"",SUMPRODUCT(MAX((Payments!$B$6:$B$305=$A20)*Payments!$A$6:$A$305)))</f>
        <v/>
      </c>
      <c r="M20" s="11"/>
    </row>
    <row r="21" customFormat="false" ht="15" hidden="false" customHeight="false" outlineLevel="0" collapsed="false">
      <c r="A21" s="19" t="n">
        <v>16</v>
      </c>
      <c r="B21" s="20" t="s">
        <v>33</v>
      </c>
      <c r="C21" s="20"/>
      <c r="D21" s="21" t="n">
        <v>46201</v>
      </c>
      <c r="E21" s="20" t="s">
        <v>17</v>
      </c>
      <c r="F21" s="19" t="n">
        <v>1</v>
      </c>
      <c r="G21" s="22" t="n">
        <v>2800</v>
      </c>
      <c r="H21" s="22" t="n">
        <f aca="false">F21*G21</f>
        <v>2800</v>
      </c>
      <c r="I21" s="22" t="n">
        <f aca="false">SUMIF(Payments!$B$6:$B$305,$A21,Payments!$D$6:$D$305)</f>
        <v>0</v>
      </c>
      <c r="J21" s="22" t="n">
        <f aca="false">H21-I21</f>
        <v>2800</v>
      </c>
      <c r="K21" s="23" t="str">
        <f aca="false">IF($H21=0,"",IF(ROUND($J21,2)&lt;0,"OVERPAID",IF(ROUND($J21,2)=0,"PAID",IF($I21&gt;0,"PARTIAL","UNPAID"))))</f>
        <v>UNPAID</v>
      </c>
      <c r="L21" s="24" t="str">
        <f aca="false">IF(SUMPRODUCT(MAX((Payments!$B$6:$B$305=$A21)*Payments!$A$6:$A$305))=0,"",SUMPRODUCT(MAX((Payments!$B$6:$B$305=$A21)*Payments!$A$6:$A$305)))</f>
        <v/>
      </c>
      <c r="M21" s="25" t="s">
        <v>26</v>
      </c>
    </row>
    <row r="22" customFormat="false" ht="15" hidden="false" customHeight="false" outlineLevel="0" collapsed="false">
      <c r="A22" s="5" t="n">
        <v>17</v>
      </c>
      <c r="B22" s="6" t="s">
        <v>34</v>
      </c>
      <c r="C22" s="6"/>
      <c r="D22" s="7" t="n">
        <v>46204</v>
      </c>
      <c r="E22" s="6" t="s">
        <v>20</v>
      </c>
      <c r="F22" s="5" t="n">
        <v>1</v>
      </c>
      <c r="G22" s="8" t="n">
        <v>1350</v>
      </c>
      <c r="H22" s="8" t="n">
        <f aca="false">F22*G22</f>
        <v>1350</v>
      </c>
      <c r="I22" s="8" t="n">
        <f aca="false">SUMIF(Payments!$B$6:$B$305,$A22,Payments!$D$6:$D$305)</f>
        <v>0</v>
      </c>
      <c r="J22" s="8" t="n">
        <f aca="false">H22-I22</f>
        <v>1350</v>
      </c>
      <c r="K22" s="9" t="str">
        <f aca="false">IF($H22=0,"",IF(ROUND($J22,2)&lt;0,"OVERPAID",IF(ROUND($J22,2)=0,"PAID",IF($I22&gt;0,"PARTIAL","UNPAID"))))</f>
        <v>UNPAID</v>
      </c>
      <c r="L22" s="10" t="str">
        <f aca="false">IF(SUMPRODUCT(MAX((Payments!$B$6:$B$305=$A22)*Payments!$A$6:$A$305))=0,"",SUMPRODUCT(MAX((Payments!$B$6:$B$305=$A22)*Payments!$A$6:$A$305)))</f>
        <v/>
      </c>
      <c r="M22" s="11"/>
    </row>
    <row r="23" customFormat="false" ht="15" hidden="false" customHeight="false" outlineLevel="0" collapsed="false">
      <c r="A23" s="12" t="n">
        <v>18</v>
      </c>
      <c r="B23" s="13" t="s">
        <v>35</v>
      </c>
      <c r="C23" s="13"/>
      <c r="D23" s="14" t="n">
        <v>46203</v>
      </c>
      <c r="E23" s="13" t="s">
        <v>20</v>
      </c>
      <c r="F23" s="12" t="n">
        <v>1</v>
      </c>
      <c r="G23" s="15" t="n">
        <v>1200</v>
      </c>
      <c r="H23" s="15" t="n">
        <f aca="false">F23*G23</f>
        <v>1200</v>
      </c>
      <c r="I23" s="15" t="n">
        <f aca="false">SUMIF(Payments!$B$6:$B$305,$A23,Payments!$D$6:$D$305)</f>
        <v>0</v>
      </c>
      <c r="J23" s="15" t="n">
        <f aca="false">H23-I23</f>
        <v>1200</v>
      </c>
      <c r="K23" s="16" t="str">
        <f aca="false">IF($H23=0,"",IF(ROUND($J23,2)&lt;0,"OVERPAID",IF(ROUND($J23,2)=0,"PAID",IF($I23&gt;0,"PARTIAL","UNPAID"))))</f>
        <v>UNPAID</v>
      </c>
      <c r="L23" s="17" t="str">
        <f aca="false">IF(SUMPRODUCT(MAX((Payments!$B$6:$B$305=$A23)*Payments!$A$6:$A$305))=0,"",SUMPRODUCT(MAX((Payments!$B$6:$B$305=$A23)*Payments!$A$6:$A$305)))</f>
        <v/>
      </c>
      <c r="M23" s="18"/>
    </row>
    <row r="24" customFormat="false" ht="15" hidden="false" customHeight="false" outlineLevel="0" collapsed="false">
      <c r="A24" s="5" t="n">
        <v>19</v>
      </c>
      <c r="B24" s="6" t="s">
        <v>21</v>
      </c>
      <c r="C24" s="6"/>
      <c r="D24" s="7" t="n">
        <v>46207</v>
      </c>
      <c r="E24" s="6" t="s">
        <v>20</v>
      </c>
      <c r="F24" s="5" t="n">
        <v>1</v>
      </c>
      <c r="G24" s="8" t="n">
        <v>1400</v>
      </c>
      <c r="H24" s="8" t="n">
        <f aca="false">F24*G24</f>
        <v>1400</v>
      </c>
      <c r="I24" s="8" t="n">
        <f aca="false">SUMIF(Payments!$B$6:$B$305,$A24,Payments!$D$6:$D$305)</f>
        <v>0</v>
      </c>
      <c r="J24" s="8" t="n">
        <f aca="false">H24-I24</f>
        <v>1400</v>
      </c>
      <c r="K24" s="9" t="str">
        <f aca="false">IF($H24=0,"",IF(ROUND($J24,2)&lt;0,"OVERPAID",IF(ROUND($J24,2)=0,"PAID",IF($I24&gt;0,"PARTIAL","UNPAID"))))</f>
        <v>UNPAID</v>
      </c>
      <c r="L24" s="10" t="str">
        <f aca="false">IF(SUMPRODUCT(MAX((Payments!$B$6:$B$305=$A24)*Payments!$A$6:$A$305))=0,"",SUMPRODUCT(MAX((Payments!$B$6:$B$305=$A24)*Payments!$A$6:$A$305)))</f>
        <v/>
      </c>
      <c r="M24" s="11"/>
    </row>
    <row r="25" customFormat="false" ht="15" hidden="false" customHeight="false" outlineLevel="0" collapsed="false">
      <c r="A25" s="19" t="n">
        <v>20</v>
      </c>
      <c r="B25" s="20" t="s">
        <v>36</v>
      </c>
      <c r="C25" s="20"/>
      <c r="D25" s="21" t="n">
        <v>46207</v>
      </c>
      <c r="E25" s="20" t="s">
        <v>20</v>
      </c>
      <c r="F25" s="19" t="n">
        <v>1</v>
      </c>
      <c r="G25" s="22" t="n">
        <v>1400</v>
      </c>
      <c r="H25" s="22" t="n">
        <f aca="false">F25*G25</f>
        <v>1400</v>
      </c>
      <c r="I25" s="22" t="n">
        <f aca="false">SUMIF(Payments!$B$6:$B$305,$A25,Payments!$D$6:$D$305)</f>
        <v>0</v>
      </c>
      <c r="J25" s="22" t="n">
        <f aca="false">H25-I25</f>
        <v>1400</v>
      </c>
      <c r="K25" s="23" t="str">
        <f aca="false">IF($H25=0,"",IF(ROUND($J25,2)&lt;0,"OVERPAID",IF(ROUND($J25,2)=0,"PAID",IF($I25&gt;0,"PARTIAL","UNPAID"))))</f>
        <v>UNPAID</v>
      </c>
      <c r="L25" s="24" t="str">
        <f aca="false">IF(SUMPRODUCT(MAX((Payments!$B$6:$B$305=$A25)*Payments!$A$6:$A$305))=0,"",SUMPRODUCT(MAX((Payments!$B$6:$B$305=$A25)*Payments!$A$6:$A$305)))</f>
        <v/>
      </c>
      <c r="M25" s="25" t="s">
        <v>26</v>
      </c>
    </row>
    <row r="26" customFormat="false" ht="15" hidden="false" customHeight="false" outlineLevel="0" collapsed="false">
      <c r="A26" s="19" t="n">
        <v>21</v>
      </c>
      <c r="B26" s="20" t="s">
        <v>37</v>
      </c>
      <c r="C26" s="20"/>
      <c r="D26" s="21" t="n">
        <v>46209</v>
      </c>
      <c r="E26" s="20" t="s">
        <v>17</v>
      </c>
      <c r="F26" s="19" t="n">
        <v>1</v>
      </c>
      <c r="G26" s="22" t="n">
        <v>2500</v>
      </c>
      <c r="H26" s="22" t="n">
        <f aca="false">F26*G26</f>
        <v>2500</v>
      </c>
      <c r="I26" s="22" t="n">
        <f aca="false">SUMIF(Payments!$B$6:$B$305,$A26,Payments!$D$6:$D$305)</f>
        <v>0</v>
      </c>
      <c r="J26" s="22" t="n">
        <f aca="false">H26-I26</f>
        <v>2500</v>
      </c>
      <c r="K26" s="23" t="str">
        <f aca="false">IF($H26=0,"",IF(ROUND($J26,2)&lt;0,"OVERPAID",IF(ROUND($J26,2)=0,"PAID",IF($I26&gt;0,"PARTIAL","UNPAID"))))</f>
        <v>UNPAID</v>
      </c>
      <c r="L26" s="24" t="str">
        <f aca="false">IF(SUMPRODUCT(MAX((Payments!$B$6:$B$305=$A26)*Payments!$A$6:$A$305))=0,"",SUMPRODUCT(MAX((Payments!$B$6:$B$305=$A26)*Payments!$A$6:$A$305)))</f>
        <v/>
      </c>
      <c r="M26" s="25" t="s">
        <v>26</v>
      </c>
    </row>
    <row r="27" customFormat="false" ht="15" hidden="false" customHeight="false" outlineLevel="0" collapsed="false">
      <c r="A27" s="19" t="n">
        <v>22</v>
      </c>
      <c r="B27" s="20" t="s">
        <v>38</v>
      </c>
      <c r="C27" s="20"/>
      <c r="D27" s="21" t="n">
        <v>46209</v>
      </c>
      <c r="E27" s="20" t="s">
        <v>20</v>
      </c>
      <c r="F27" s="19" t="n">
        <v>1</v>
      </c>
      <c r="G27" s="22" t="n">
        <v>1400</v>
      </c>
      <c r="H27" s="22" t="n">
        <f aca="false">F27*G27</f>
        <v>1400</v>
      </c>
      <c r="I27" s="22" t="n">
        <f aca="false">SUMIF(Payments!$B$6:$B$305,$A27,Payments!$D$6:$D$305)</f>
        <v>0</v>
      </c>
      <c r="J27" s="22" t="n">
        <f aca="false">H27-I27</f>
        <v>1400</v>
      </c>
      <c r="K27" s="23" t="str">
        <f aca="false">IF($H27=0,"",IF(ROUND($J27,2)&lt;0,"OVERPAID",IF(ROUND($J27,2)=0,"PAID",IF($I27&gt;0,"PARTIAL","UNPAID"))))</f>
        <v>UNPAID</v>
      </c>
      <c r="L27" s="24" t="str">
        <f aca="false">IF(SUMPRODUCT(MAX((Payments!$B$6:$B$305=$A27)*Payments!$A$6:$A$305))=0,"",SUMPRODUCT(MAX((Payments!$B$6:$B$305=$A27)*Payments!$A$6:$A$305)))</f>
        <v/>
      </c>
      <c r="M27" s="25" t="s">
        <v>26</v>
      </c>
    </row>
    <row r="28" customFormat="false" ht="15" hidden="false" customHeight="false" outlineLevel="0" collapsed="false">
      <c r="A28" s="26" t="n">
        <v>23</v>
      </c>
      <c r="B28" s="27" t="s">
        <v>39</v>
      </c>
      <c r="C28" s="27"/>
      <c r="D28" s="28" t="n">
        <v>46209</v>
      </c>
      <c r="E28" s="27" t="s">
        <v>20</v>
      </c>
      <c r="F28" s="26" t="n">
        <v>1</v>
      </c>
      <c r="G28" s="29" t="n">
        <v>1400</v>
      </c>
      <c r="H28" s="29" t="n">
        <f aca="false">F28*G28</f>
        <v>1400</v>
      </c>
      <c r="I28" s="29" t="n">
        <f aca="false">SUMIF(Payments!$B$6:$B$305,$A28,Payments!$D$6:$D$305)</f>
        <v>0</v>
      </c>
      <c r="J28" s="29" t="n">
        <f aca="false">H28-I28</f>
        <v>1400</v>
      </c>
      <c r="K28" s="30" t="str">
        <f aca="false">IF($H28=0,"",IF(ROUND($J28,2)&lt;0,"OVERPAID",IF(ROUND($J28,2)=0,"PAID",IF($I28&gt;0,"PARTIAL","UNPAID"))))</f>
        <v>UNPAID</v>
      </c>
      <c r="L28" s="31" t="str">
        <f aca="false">IF(SUMPRODUCT(MAX((Payments!$B$6:$B$305=$A28)*Payments!$A$6:$A$305))=0,"",SUMPRODUCT(MAX((Payments!$B$6:$B$305=$A28)*Payments!$A$6:$A$305)))</f>
        <v/>
      </c>
      <c r="M28" s="32" t="s">
        <v>40</v>
      </c>
    </row>
    <row r="29" customFormat="false" ht="15" hidden="false" customHeight="false" outlineLevel="0" collapsed="false">
      <c r="A29" s="12" t="n">
        <v>24</v>
      </c>
      <c r="B29" s="13" t="s">
        <v>41</v>
      </c>
      <c r="C29" s="13"/>
      <c r="D29" s="14" t="n">
        <v>46209</v>
      </c>
      <c r="E29" s="13" t="s">
        <v>20</v>
      </c>
      <c r="F29" s="12" t="n">
        <v>1</v>
      </c>
      <c r="G29" s="15" t="n">
        <v>1400</v>
      </c>
      <c r="H29" s="15" t="n">
        <f aca="false">F29*G29</f>
        <v>1400</v>
      </c>
      <c r="I29" s="15" t="n">
        <f aca="false">SUMIF(Payments!$B$6:$B$305,$A29,Payments!$D$6:$D$305)</f>
        <v>0</v>
      </c>
      <c r="J29" s="15" t="n">
        <f aca="false">H29-I29</f>
        <v>1400</v>
      </c>
      <c r="K29" s="16" t="str">
        <f aca="false">IF($H29=0,"",IF(ROUND($J29,2)&lt;0,"OVERPAID",IF(ROUND($J29,2)=0,"PAID",IF($I29&gt;0,"PARTIAL","UNPAID"))))</f>
        <v>UNPAID</v>
      </c>
      <c r="L29" s="17" t="str">
        <f aca="false">IF(SUMPRODUCT(MAX((Payments!$B$6:$B$305=$A29)*Payments!$A$6:$A$305))=0,"",SUMPRODUCT(MAX((Payments!$B$6:$B$305=$A29)*Payments!$A$6:$A$305)))</f>
        <v/>
      </c>
      <c r="M29" s="18"/>
    </row>
    <row r="30" customFormat="false" ht="15" hidden="false" customHeight="false" outlineLevel="0" collapsed="false">
      <c r="A30" s="5" t="n">
        <v>25</v>
      </c>
      <c r="B30" s="6" t="s">
        <v>42</v>
      </c>
      <c r="C30" s="6"/>
      <c r="D30" s="7" t="n">
        <v>46210</v>
      </c>
      <c r="E30" s="6" t="s">
        <v>17</v>
      </c>
      <c r="F30" s="5" t="n">
        <v>5</v>
      </c>
      <c r="G30" s="8" t="n">
        <v>2600</v>
      </c>
      <c r="H30" s="8" t="n">
        <f aca="false">F30*G30</f>
        <v>13000</v>
      </c>
      <c r="I30" s="8" t="n">
        <f aca="false">SUMIF(Payments!$B$6:$B$305,$A30,Payments!$D$6:$D$305)</f>
        <v>0</v>
      </c>
      <c r="J30" s="8" t="n">
        <f aca="false">H30-I30</f>
        <v>13000</v>
      </c>
      <c r="K30" s="9" t="str">
        <f aca="false">IF($H30=0,"",IF(ROUND($J30,2)&lt;0,"OVERPAID",IF(ROUND($J30,2)=0,"PAID",IF($I30&gt;0,"PARTIAL","UNPAID"))))</f>
        <v>UNPAID</v>
      </c>
      <c r="L30" s="10" t="str">
        <f aca="false">IF(SUMPRODUCT(MAX((Payments!$B$6:$B$305=$A30)*Payments!$A$6:$A$305))=0,"",SUMPRODUCT(MAX((Payments!$B$6:$B$305=$A30)*Payments!$A$6:$A$305)))</f>
        <v/>
      </c>
      <c r="M30" s="11"/>
    </row>
    <row r="31" customFormat="false" ht="15" hidden="false" customHeight="false" outlineLevel="0" collapsed="false">
      <c r="A31" s="12" t="n">
        <v>26</v>
      </c>
      <c r="B31" s="13" t="s">
        <v>43</v>
      </c>
      <c r="C31" s="13"/>
      <c r="D31" s="14" t="n">
        <v>46214</v>
      </c>
      <c r="E31" s="13" t="s">
        <v>20</v>
      </c>
      <c r="F31" s="12" t="n">
        <v>1</v>
      </c>
      <c r="G31" s="15" t="n">
        <v>1200</v>
      </c>
      <c r="H31" s="15" t="n">
        <f aca="false">F31*G31</f>
        <v>1200</v>
      </c>
      <c r="I31" s="15" t="n">
        <f aca="false">SUMIF(Payments!$B$6:$B$305,$A31,Payments!$D$6:$D$305)</f>
        <v>0</v>
      </c>
      <c r="J31" s="15" t="n">
        <f aca="false">H31-I31</f>
        <v>1200</v>
      </c>
      <c r="K31" s="16" t="str">
        <f aca="false">IF($H31=0,"",IF(ROUND($J31,2)&lt;0,"OVERPAID",IF(ROUND($J31,2)=0,"PAID",IF($I31&gt;0,"PARTIAL","UNPAID"))))</f>
        <v>UNPAID</v>
      </c>
      <c r="L31" s="17" t="str">
        <f aca="false">IF(SUMPRODUCT(MAX((Payments!$B$6:$B$305=$A31)*Payments!$A$6:$A$305))=0,"",SUMPRODUCT(MAX((Payments!$B$6:$B$305=$A31)*Payments!$A$6:$A$305)))</f>
        <v/>
      </c>
      <c r="M31" s="18"/>
    </row>
    <row r="32" customFormat="false" ht="15" hidden="false" customHeight="false" outlineLevel="0" collapsed="false">
      <c r="A32" s="5" t="n">
        <v>27</v>
      </c>
      <c r="B32" s="6" t="s">
        <v>44</v>
      </c>
      <c r="C32" s="6"/>
      <c r="D32" s="7" t="n">
        <v>46215</v>
      </c>
      <c r="E32" s="6" t="s">
        <v>20</v>
      </c>
      <c r="F32" s="5" t="n">
        <v>1</v>
      </c>
      <c r="G32" s="8" t="n">
        <v>1400</v>
      </c>
      <c r="H32" s="8" t="n">
        <f aca="false">F32*G32</f>
        <v>1400</v>
      </c>
      <c r="I32" s="8" t="n">
        <f aca="false">SUMIF(Payments!$B$6:$B$305,$A32,Payments!$D$6:$D$305)</f>
        <v>0</v>
      </c>
      <c r="J32" s="8" t="n">
        <f aca="false">H32-I32</f>
        <v>1400</v>
      </c>
      <c r="K32" s="9" t="str">
        <f aca="false">IF($H32=0,"",IF(ROUND($J32,2)&lt;0,"OVERPAID",IF(ROUND($J32,2)=0,"PAID",IF($I32&gt;0,"PARTIAL","UNPAID"))))</f>
        <v>UNPAID</v>
      </c>
      <c r="L32" s="10" t="str">
        <f aca="false">IF(SUMPRODUCT(MAX((Payments!$B$6:$B$305=$A32)*Payments!$A$6:$A$305))=0,"",SUMPRODUCT(MAX((Payments!$B$6:$B$305=$A32)*Payments!$A$6:$A$305)))</f>
        <v/>
      </c>
      <c r="M32" s="11"/>
    </row>
    <row r="33" customFormat="false" ht="15" hidden="false" customHeight="false" outlineLevel="0" collapsed="false">
      <c r="A33" s="19" t="n">
        <v>28</v>
      </c>
      <c r="B33" s="20" t="s">
        <v>45</v>
      </c>
      <c r="C33" s="20"/>
      <c r="D33" s="21" t="n">
        <v>46215</v>
      </c>
      <c r="E33" s="20" t="s">
        <v>20</v>
      </c>
      <c r="F33" s="19" t="n">
        <v>1</v>
      </c>
      <c r="G33" s="22" t="n">
        <v>1400</v>
      </c>
      <c r="H33" s="22" t="n">
        <f aca="false">F33*G33</f>
        <v>1400</v>
      </c>
      <c r="I33" s="22" t="n">
        <f aca="false">SUMIF(Payments!$B$6:$B$305,$A33,Payments!$D$6:$D$305)</f>
        <v>0</v>
      </c>
      <c r="J33" s="22" t="n">
        <f aca="false">H33-I33</f>
        <v>1400</v>
      </c>
      <c r="K33" s="23" t="str">
        <f aca="false">IF($H33=0,"",IF(ROUND($J33,2)&lt;0,"OVERPAID",IF(ROUND($J33,2)=0,"PAID",IF($I33&gt;0,"PARTIAL","UNPAID"))))</f>
        <v>UNPAID</v>
      </c>
      <c r="L33" s="24" t="str">
        <f aca="false">IF(SUMPRODUCT(MAX((Payments!$B$6:$B$305=$A33)*Payments!$A$6:$A$305))=0,"",SUMPRODUCT(MAX((Payments!$B$6:$B$305=$A33)*Payments!$A$6:$A$305)))</f>
        <v/>
      </c>
      <c r="M33" s="25" t="s">
        <v>26</v>
      </c>
    </row>
    <row r="34" customFormat="false" ht="15" hidden="false" customHeight="false" outlineLevel="0" collapsed="false">
      <c r="A34" s="5" t="n">
        <v>29</v>
      </c>
      <c r="B34" s="6" t="s">
        <v>29</v>
      </c>
      <c r="C34" s="6"/>
      <c r="D34" s="7" t="n">
        <v>46245</v>
      </c>
      <c r="E34" s="6" t="s">
        <v>20</v>
      </c>
      <c r="F34" s="5" t="n">
        <v>1</v>
      </c>
      <c r="G34" s="8" t="n">
        <v>1450</v>
      </c>
      <c r="H34" s="8" t="n">
        <f aca="false">F34*G34</f>
        <v>1450</v>
      </c>
      <c r="I34" s="8" t="n">
        <f aca="false">SUMIF(Payments!$B$6:$B$305,$A34,Payments!$D$6:$D$305)</f>
        <v>0</v>
      </c>
      <c r="J34" s="8" t="n">
        <f aca="false">H34-I34</f>
        <v>1450</v>
      </c>
      <c r="K34" s="9" t="str">
        <f aca="false">IF($H34=0,"",IF(ROUND($J34,2)&lt;0,"OVERPAID",IF(ROUND($J34,2)=0,"PAID",IF($I34&gt;0,"PARTIAL","UNPAID"))))</f>
        <v>UNPAID</v>
      </c>
      <c r="L34" s="10" t="str">
        <f aca="false">IF(SUMPRODUCT(MAX((Payments!$B$6:$B$305=$A34)*Payments!$A$6:$A$305))=0,"",SUMPRODUCT(MAX((Payments!$B$6:$B$305=$A34)*Payments!$A$6:$A$305)))</f>
        <v/>
      </c>
      <c r="M34" s="11"/>
    </row>
    <row r="35" customFormat="false" ht="15" hidden="false" customHeight="false" outlineLevel="0" collapsed="false">
      <c r="A35" s="12" t="n">
        <v>30</v>
      </c>
      <c r="B35" s="13" t="s">
        <v>30</v>
      </c>
      <c r="C35" s="13"/>
      <c r="D35" s="14" t="n">
        <v>46215</v>
      </c>
      <c r="E35" s="13" t="s">
        <v>20</v>
      </c>
      <c r="F35" s="12" t="n">
        <v>1</v>
      </c>
      <c r="G35" s="15" t="n">
        <v>1450</v>
      </c>
      <c r="H35" s="15" t="n">
        <f aca="false">F35*G35</f>
        <v>1450</v>
      </c>
      <c r="I35" s="15" t="n">
        <f aca="false">SUMIF(Payments!$B$6:$B$305,$A35,Payments!$D$6:$D$305)</f>
        <v>0</v>
      </c>
      <c r="J35" s="15" t="n">
        <f aca="false">H35-I35</f>
        <v>1450</v>
      </c>
      <c r="K35" s="16" t="str">
        <f aca="false">IF($H35=0,"",IF(ROUND($J35,2)&lt;0,"OVERPAID",IF(ROUND($J35,2)=0,"PAID",IF($I35&gt;0,"PARTIAL","UNPAID"))))</f>
        <v>UNPAID</v>
      </c>
      <c r="L35" s="17" t="str">
        <f aca="false">IF(SUMPRODUCT(MAX((Payments!$B$6:$B$305=$A35)*Payments!$A$6:$A$305))=0,"",SUMPRODUCT(MAX((Payments!$B$6:$B$305=$A35)*Payments!$A$6:$A$305)))</f>
        <v/>
      </c>
      <c r="M35" s="18"/>
    </row>
    <row r="36" customFormat="false" ht="15" hidden="false" customHeight="false" outlineLevel="0" collapsed="false">
      <c r="A36" s="5" t="n">
        <v>31</v>
      </c>
      <c r="B36" s="6" t="s">
        <v>44</v>
      </c>
      <c r="C36" s="6"/>
      <c r="D36" s="7" t="n">
        <v>46237</v>
      </c>
      <c r="E36" s="6" t="s">
        <v>20</v>
      </c>
      <c r="F36" s="5" t="n">
        <v>1</v>
      </c>
      <c r="G36" s="8" t="n">
        <v>1450</v>
      </c>
      <c r="H36" s="8" t="n">
        <f aca="false">F36*G36</f>
        <v>1450</v>
      </c>
      <c r="I36" s="8" t="n">
        <f aca="false">SUMIF(Payments!$B$6:$B$305,$A36,Payments!$D$6:$D$305)</f>
        <v>0</v>
      </c>
      <c r="J36" s="8" t="n">
        <f aca="false">H36-I36</f>
        <v>1450</v>
      </c>
      <c r="K36" s="9" t="str">
        <f aca="false">IF($H36=0,"",IF(ROUND($J36,2)&lt;0,"OVERPAID",IF(ROUND($J36,2)=0,"PAID",IF($I36&gt;0,"PARTIAL","UNPAID"))))</f>
        <v>UNPAID</v>
      </c>
      <c r="L36" s="10" t="str">
        <f aca="false">IF(SUMPRODUCT(MAX((Payments!$B$6:$B$305=$A36)*Payments!$A$6:$A$305))=0,"",SUMPRODUCT(MAX((Payments!$B$6:$B$305=$A36)*Payments!$A$6:$A$305)))</f>
        <v/>
      </c>
      <c r="M36" s="11"/>
    </row>
    <row r="37" customFormat="false" ht="15" hidden="false" customHeight="false" outlineLevel="0" collapsed="false">
      <c r="A37" s="12" t="n">
        <v>32</v>
      </c>
      <c r="B37" s="13" t="s">
        <v>46</v>
      </c>
      <c r="C37" s="13"/>
      <c r="D37" s="14" t="n">
        <v>46237</v>
      </c>
      <c r="E37" s="13" t="s">
        <v>20</v>
      </c>
      <c r="F37" s="12" t="n">
        <v>10</v>
      </c>
      <c r="G37" s="15" t="n">
        <v>1300</v>
      </c>
      <c r="H37" s="15" t="n">
        <f aca="false">F37*G37</f>
        <v>13000</v>
      </c>
      <c r="I37" s="15" t="n">
        <f aca="false">SUMIF(Payments!$B$6:$B$305,$A37,Payments!$D$6:$D$305)</f>
        <v>0</v>
      </c>
      <c r="J37" s="15" t="n">
        <f aca="false">H37-I37</f>
        <v>13000</v>
      </c>
      <c r="K37" s="16" t="str">
        <f aca="false">IF($H37=0,"",IF(ROUND($J37,2)&lt;0,"OVERPAID",IF(ROUND($J37,2)=0,"PAID",IF($I37&gt;0,"PARTIAL","UNPAID"))))</f>
        <v>UNPAID</v>
      </c>
      <c r="L37" s="17" t="str">
        <f aca="false">IF(SUMPRODUCT(MAX((Payments!$B$6:$B$305=$A37)*Payments!$A$6:$A$305))=0,"",SUMPRODUCT(MAX((Payments!$B$6:$B$305=$A37)*Payments!$A$6:$A$305)))</f>
        <v/>
      </c>
      <c r="M37" s="18"/>
    </row>
    <row r="38" customFormat="false" ht="15" hidden="false" customHeight="false" outlineLevel="0" collapsed="false">
      <c r="A38" s="5" t="n">
        <v>33</v>
      </c>
      <c r="B38" s="6" t="s">
        <v>21</v>
      </c>
      <c r="C38" s="6"/>
      <c r="D38" s="7" t="n">
        <v>46238</v>
      </c>
      <c r="E38" s="6" t="s">
        <v>20</v>
      </c>
      <c r="F38" s="5" t="n">
        <v>1</v>
      </c>
      <c r="G38" s="8" t="n">
        <v>1450</v>
      </c>
      <c r="H38" s="8" t="n">
        <f aca="false">F38*G38</f>
        <v>1450</v>
      </c>
      <c r="I38" s="8" t="n">
        <f aca="false">SUMIF(Payments!$B$6:$B$305,$A38,Payments!$D$6:$D$305)</f>
        <v>0</v>
      </c>
      <c r="J38" s="8" t="n">
        <f aca="false">H38-I38</f>
        <v>1450</v>
      </c>
      <c r="K38" s="9" t="str">
        <f aca="false">IF($H38=0,"",IF(ROUND($J38,2)&lt;0,"OVERPAID",IF(ROUND($J38,2)=0,"PAID",IF($I38&gt;0,"PARTIAL","UNPAID"))))</f>
        <v>UNPAID</v>
      </c>
      <c r="L38" s="10" t="str">
        <f aca="false">IF(SUMPRODUCT(MAX((Payments!$B$6:$B$305=$A38)*Payments!$A$6:$A$305))=0,"",SUMPRODUCT(MAX((Payments!$B$6:$B$305=$A38)*Payments!$A$6:$A$305)))</f>
        <v/>
      </c>
      <c r="M38" s="11"/>
    </row>
    <row r="39" customFormat="false" ht="15" hidden="false" customHeight="false" outlineLevel="0" collapsed="false">
      <c r="A39" s="12" t="n">
        <v>34</v>
      </c>
      <c r="B39" s="13" t="s">
        <v>47</v>
      </c>
      <c r="C39" s="13"/>
      <c r="D39" s="14" t="n">
        <v>46239</v>
      </c>
      <c r="E39" s="13" t="s">
        <v>20</v>
      </c>
      <c r="F39" s="12" t="n">
        <v>2</v>
      </c>
      <c r="G39" s="15" t="n">
        <v>1450</v>
      </c>
      <c r="H39" s="15" t="n">
        <f aca="false">F39*G39</f>
        <v>2900</v>
      </c>
      <c r="I39" s="15" t="n">
        <f aca="false">SUMIF(Payments!$B$6:$B$305,$A39,Payments!$D$6:$D$305)</f>
        <v>0</v>
      </c>
      <c r="J39" s="15" t="n">
        <f aca="false">H39-I39</f>
        <v>2900</v>
      </c>
      <c r="K39" s="16" t="str">
        <f aca="false">IF($H39=0,"",IF(ROUND($J39,2)&lt;0,"OVERPAID",IF(ROUND($J39,2)=0,"PAID",IF($I39&gt;0,"PARTIAL","UNPAID"))))</f>
        <v>UNPAID</v>
      </c>
      <c r="L39" s="17" t="str">
        <f aca="false">IF(SUMPRODUCT(MAX((Payments!$B$6:$B$305=$A39)*Payments!$A$6:$A$305))=0,"",SUMPRODUCT(MAX((Payments!$B$6:$B$305=$A39)*Payments!$A$6:$A$305)))</f>
        <v/>
      </c>
      <c r="M39" s="18"/>
    </row>
    <row r="40" customFormat="false" ht="15" hidden="false" customHeight="false" outlineLevel="0" collapsed="false">
      <c r="A40" s="5" t="n">
        <v>35</v>
      </c>
      <c r="B40" s="6" t="s">
        <v>28</v>
      </c>
      <c r="C40" s="6"/>
      <c r="D40" s="7" t="n">
        <v>46239</v>
      </c>
      <c r="E40" s="6" t="s">
        <v>20</v>
      </c>
      <c r="F40" s="5" t="n">
        <v>1</v>
      </c>
      <c r="G40" s="8" t="n">
        <v>1450</v>
      </c>
      <c r="H40" s="8" t="n">
        <f aca="false">F40*G40</f>
        <v>1450</v>
      </c>
      <c r="I40" s="8" t="n">
        <f aca="false">SUMIF(Payments!$B$6:$B$305,$A40,Payments!$D$6:$D$305)</f>
        <v>0</v>
      </c>
      <c r="J40" s="8" t="n">
        <f aca="false">H40-I40</f>
        <v>1450</v>
      </c>
      <c r="K40" s="9" t="str">
        <f aca="false">IF($H40=0,"",IF(ROUND($J40,2)&lt;0,"OVERPAID",IF(ROUND($J40,2)=0,"PAID",IF($I40&gt;0,"PARTIAL","UNPAID"))))</f>
        <v>UNPAID</v>
      </c>
      <c r="L40" s="10" t="str">
        <f aca="false">IF(SUMPRODUCT(MAX((Payments!$B$6:$B$305=$A40)*Payments!$A$6:$A$305))=0,"",SUMPRODUCT(MAX((Payments!$B$6:$B$305=$A40)*Payments!$A$6:$A$305)))</f>
        <v/>
      </c>
      <c r="M40" s="11"/>
    </row>
    <row r="41" customFormat="false" ht="15" hidden="false" customHeight="false" outlineLevel="0" collapsed="false">
      <c r="A41" s="26" t="n">
        <v>36</v>
      </c>
      <c r="B41" s="27" t="s">
        <v>46</v>
      </c>
      <c r="C41" s="27"/>
      <c r="D41" s="28" t="n">
        <v>46245</v>
      </c>
      <c r="E41" s="27" t="s">
        <v>20</v>
      </c>
      <c r="F41" s="26" t="n">
        <v>10</v>
      </c>
      <c r="G41" s="29" t="n">
        <v>1300</v>
      </c>
      <c r="H41" s="29" t="n">
        <f aca="false">F41*G41</f>
        <v>13000</v>
      </c>
      <c r="I41" s="29" t="n">
        <f aca="false">SUMIF(Payments!$B$6:$B$305,$A41,Payments!$D$6:$D$305)</f>
        <v>0</v>
      </c>
      <c r="J41" s="29" t="n">
        <f aca="false">H41-I41</f>
        <v>13000</v>
      </c>
      <c r="K41" s="30" t="str">
        <f aca="false">IF($H41=0,"",IF(ROUND($J41,2)&lt;0,"OVERPAID",IF(ROUND($J41,2)=0,"PAID",IF($I41&gt;0,"PARTIAL","UNPAID"))))</f>
        <v>UNPAID</v>
      </c>
      <c r="L41" s="31" t="str">
        <f aca="false">IF(SUMPRODUCT(MAX((Payments!$B$6:$B$305=$A41)*Payments!$A$6:$A$305))=0,"",SUMPRODUCT(MAX((Payments!$B$6:$B$305=$A41)*Payments!$A$6:$A$305)))</f>
        <v/>
      </c>
      <c r="M41" s="32" t="s">
        <v>48</v>
      </c>
    </row>
    <row r="42" customFormat="false" ht="15" hidden="false" customHeight="false" outlineLevel="0" collapsed="false">
      <c r="A42" s="26" t="n">
        <v>37</v>
      </c>
      <c r="B42" s="27" t="s">
        <v>49</v>
      </c>
      <c r="C42" s="27"/>
      <c r="D42" s="28" t="n">
        <v>46242</v>
      </c>
      <c r="E42" s="27" t="s">
        <v>20</v>
      </c>
      <c r="F42" s="26" t="n">
        <v>1</v>
      </c>
      <c r="G42" s="29" t="n">
        <v>1450</v>
      </c>
      <c r="H42" s="29" t="n">
        <f aca="false">F42*G42</f>
        <v>1450</v>
      </c>
      <c r="I42" s="29" t="n">
        <f aca="false">SUMIF(Payments!$B$6:$B$305,$A42,Payments!$D$6:$D$305)</f>
        <v>0</v>
      </c>
      <c r="J42" s="29" t="n">
        <f aca="false">H42-I42</f>
        <v>1450</v>
      </c>
      <c r="K42" s="30" t="str">
        <f aca="false">IF($H42=0,"",IF(ROUND($J42,2)&lt;0,"OVERPAID",IF(ROUND($J42,2)=0,"PAID",IF($I42&gt;0,"PARTIAL","UNPAID"))))</f>
        <v>UNPAID</v>
      </c>
      <c r="L42" s="31" t="str">
        <f aca="false">IF(SUMPRODUCT(MAX((Payments!$B$6:$B$305=$A42)*Payments!$A$6:$A$305))=0,"",SUMPRODUCT(MAX((Payments!$B$6:$B$305=$A42)*Payments!$A$6:$A$305)))</f>
        <v/>
      </c>
      <c r="M42" s="32" t="s">
        <v>50</v>
      </c>
    </row>
    <row r="43" customFormat="false" ht="15" hidden="false" customHeight="false" outlineLevel="0" collapsed="false">
      <c r="A43" s="12" t="n">
        <v>38</v>
      </c>
      <c r="B43" s="13" t="s">
        <v>27</v>
      </c>
      <c r="C43" s="13"/>
      <c r="D43" s="14" t="n">
        <v>46252</v>
      </c>
      <c r="E43" s="13" t="s">
        <v>20</v>
      </c>
      <c r="F43" s="12" t="n">
        <v>1</v>
      </c>
      <c r="G43" s="15" t="n">
        <v>1450</v>
      </c>
      <c r="H43" s="15" t="n">
        <f aca="false">F43*G43</f>
        <v>1450</v>
      </c>
      <c r="I43" s="15" t="n">
        <f aca="false">SUMIF(Payments!$B$6:$B$305,$A43,Payments!$D$6:$D$305)</f>
        <v>0</v>
      </c>
      <c r="J43" s="15" t="n">
        <f aca="false">H43-I43</f>
        <v>1450</v>
      </c>
      <c r="K43" s="16" t="str">
        <f aca="false">IF($H43=0,"",IF(ROUND($J43,2)&lt;0,"OVERPAID",IF(ROUND($J43,2)=0,"PAID",IF($I43&gt;0,"PARTIAL","UNPAID"))))</f>
        <v>UNPAID</v>
      </c>
      <c r="L43" s="17" t="str">
        <f aca="false">IF(SUMPRODUCT(MAX((Payments!$B$6:$B$305=$A43)*Payments!$A$6:$A$305))=0,"",SUMPRODUCT(MAX((Payments!$B$6:$B$305=$A43)*Payments!$A$6:$A$305)))</f>
        <v/>
      </c>
      <c r="M43" s="18"/>
    </row>
    <row r="44" customFormat="false" ht="15" hidden="false" customHeight="false" outlineLevel="0" collapsed="false">
      <c r="A44" s="5" t="n">
        <v>39</v>
      </c>
      <c r="B44" s="6" t="s">
        <v>33</v>
      </c>
      <c r="C44" s="6"/>
      <c r="D44" s="7" t="n">
        <v>46252</v>
      </c>
      <c r="E44" s="6" t="s">
        <v>20</v>
      </c>
      <c r="F44" s="5" t="n">
        <v>1</v>
      </c>
      <c r="G44" s="8" t="n">
        <v>1450</v>
      </c>
      <c r="H44" s="8" t="n">
        <f aca="false">F44*G44</f>
        <v>1450</v>
      </c>
      <c r="I44" s="8" t="n">
        <f aca="false">SUMIF(Payments!$B$6:$B$305,$A44,Payments!$D$6:$D$305)</f>
        <v>0</v>
      </c>
      <c r="J44" s="8" t="n">
        <f aca="false">H44-I44</f>
        <v>1450</v>
      </c>
      <c r="K44" s="9" t="str">
        <f aca="false">IF($H44=0,"",IF(ROUND($J44,2)&lt;0,"OVERPAID",IF(ROUND($J44,2)=0,"PAID",IF($I44&gt;0,"PARTIAL","UNPAID"))))</f>
        <v>UNPAID</v>
      </c>
      <c r="L44" s="10" t="str">
        <f aca="false">IF(SUMPRODUCT(MAX((Payments!$B$6:$B$305=$A44)*Payments!$A$6:$A$305))=0,"",SUMPRODUCT(MAX((Payments!$B$6:$B$305=$A44)*Payments!$A$6:$A$305)))</f>
        <v/>
      </c>
      <c r="M44" s="11"/>
    </row>
    <row r="45" customFormat="false" ht="15" hidden="false" customHeight="false" outlineLevel="0" collapsed="false">
      <c r="A45" s="12" t="n">
        <v>40</v>
      </c>
      <c r="B45" s="13" t="s">
        <v>36</v>
      </c>
      <c r="C45" s="13"/>
      <c r="D45" s="14" t="n">
        <v>46252</v>
      </c>
      <c r="E45" s="13" t="s">
        <v>20</v>
      </c>
      <c r="F45" s="12" t="n">
        <v>1</v>
      </c>
      <c r="G45" s="15" t="n">
        <v>1450</v>
      </c>
      <c r="H45" s="15" t="n">
        <f aca="false">F45*G45</f>
        <v>1450</v>
      </c>
      <c r="I45" s="15" t="n">
        <f aca="false">SUMIF(Payments!$B$6:$B$305,$A45,Payments!$D$6:$D$305)</f>
        <v>0</v>
      </c>
      <c r="J45" s="15" t="n">
        <f aca="false">H45-I45</f>
        <v>1450</v>
      </c>
      <c r="K45" s="16" t="str">
        <f aca="false">IF($H45=0,"",IF(ROUND($J45,2)&lt;0,"OVERPAID",IF(ROUND($J45,2)=0,"PAID",IF($I45&gt;0,"PARTIAL","UNPAID"))))</f>
        <v>UNPAID</v>
      </c>
      <c r="L45" s="17" t="str">
        <f aca="false">IF(SUMPRODUCT(MAX((Payments!$B$6:$B$305=$A45)*Payments!$A$6:$A$305))=0,"",SUMPRODUCT(MAX((Payments!$B$6:$B$305=$A45)*Payments!$A$6:$A$305)))</f>
        <v/>
      </c>
      <c r="M45" s="18"/>
    </row>
    <row r="47" customFormat="false" ht="15" hidden="false" customHeight="false" outlineLevel="0" collapsed="false">
      <c r="A47" s="33"/>
      <c r="B47" s="33" t="s">
        <v>51</v>
      </c>
      <c r="C47" s="33"/>
      <c r="D47" s="33"/>
      <c r="E47" s="33"/>
      <c r="F47" s="34" t="n">
        <f aca="false">SUM(F6:F45)</f>
        <v>66</v>
      </c>
      <c r="G47" s="35"/>
      <c r="H47" s="35" t="n">
        <f aca="false">SUM(H6:H45)</f>
        <v>106000</v>
      </c>
      <c r="I47" s="35" t="n">
        <f aca="false">SUM(I6:I45)</f>
        <v>0</v>
      </c>
      <c r="J47" s="35" t="n">
        <f aca="false">SUM(J6:J45)</f>
        <v>106000</v>
      </c>
      <c r="K47" s="33"/>
      <c r="L47" s="33"/>
      <c r="M47" s="33"/>
    </row>
    <row r="49" customFormat="false" ht="15" hidden="false" customHeight="false" outlineLevel="0" collapsed="false">
      <c r="B49" s="36" t="s">
        <v>52</v>
      </c>
    </row>
    <row r="50" customFormat="false" ht="15" hidden="false" customHeight="false" outlineLevel="0" collapsed="false">
      <c r="B50" s="37" t="s">
        <v>53</v>
      </c>
      <c r="C50" s="38" t="s">
        <v>54</v>
      </c>
    </row>
    <row r="51" customFormat="false" ht="15" hidden="false" customHeight="false" outlineLevel="0" collapsed="false">
      <c r="B51" s="37" t="s">
        <v>55</v>
      </c>
      <c r="C51" s="38" t="s">
        <v>56</v>
      </c>
    </row>
    <row r="52" customFormat="false" ht="15" hidden="false" customHeight="false" outlineLevel="0" collapsed="false">
      <c r="B52" s="37" t="s">
        <v>57</v>
      </c>
      <c r="C52" s="38" t="s">
        <v>58</v>
      </c>
    </row>
    <row r="53" customFormat="false" ht="15" hidden="false" customHeight="false" outlineLevel="0" collapsed="false">
      <c r="B53" s="37" t="s">
        <v>59</v>
      </c>
      <c r="C53" s="38" t="s">
        <v>60</v>
      </c>
    </row>
    <row r="54" customFormat="false" ht="15" hidden="false" customHeight="false" outlineLevel="0" collapsed="false">
      <c r="B54" s="37" t="s">
        <v>13</v>
      </c>
      <c r="C54" s="38" t="s">
        <v>61</v>
      </c>
    </row>
  </sheetData>
  <autoFilter ref="A5:M45"/>
  <mergeCells count="3">
    <mergeCell ref="A1:M1"/>
    <mergeCell ref="A2:M2"/>
    <mergeCell ref="A3:M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26"/>
    <col collapsed="false" customWidth="true" hidden="false" outlineLevel="0" max="4" min="4" style="0" width="18"/>
    <col collapsed="false" customWidth="true" hidden="false" outlineLevel="0" max="5" min="5" style="0" width="14"/>
    <col collapsed="false" customWidth="true" hidden="false" outlineLevel="0" max="6" min="6" style="0" width="40"/>
    <col collapsed="false" customWidth="true" hidden="false" outlineLevel="0" max="13" min="8" style="0" width="16"/>
  </cols>
  <sheetData>
    <row r="1" customFormat="false" ht="21.75" hidden="false" customHeight="true" outlineLevel="0" collapsed="false">
      <c r="A1" s="1" t="s">
        <v>62</v>
      </c>
      <c r="B1" s="1"/>
      <c r="C1" s="1"/>
      <c r="D1" s="1"/>
      <c r="E1" s="1"/>
      <c r="F1" s="1"/>
    </row>
    <row r="2" customFormat="false" ht="15" hidden="false" customHeight="false" outlineLevel="0" collapsed="false">
      <c r="A2" s="2" t="s">
        <v>63</v>
      </c>
      <c r="B2" s="2"/>
      <c r="C2" s="2"/>
      <c r="D2" s="2"/>
      <c r="E2" s="2"/>
      <c r="F2" s="2"/>
    </row>
    <row r="3" customFormat="false" ht="15.75" hidden="false" customHeight="true" outlineLevel="0" collapsed="false">
      <c r="A3" s="3" t="s">
        <v>64</v>
      </c>
      <c r="B3" s="3"/>
      <c r="C3" s="3"/>
      <c r="D3" s="3"/>
      <c r="E3" s="3"/>
      <c r="F3" s="3"/>
    </row>
    <row r="5" customFormat="false" ht="30" hidden="false" customHeight="true" outlineLevel="0" collapsed="false">
      <c r="A5" s="4" t="s">
        <v>65</v>
      </c>
      <c r="B5" s="4" t="s">
        <v>3</v>
      </c>
      <c r="C5" s="4" t="s">
        <v>66</v>
      </c>
      <c r="D5" s="4" t="s">
        <v>67</v>
      </c>
      <c r="E5" s="4" t="s">
        <v>68</v>
      </c>
      <c r="F5" s="4" t="s">
        <v>15</v>
      </c>
      <c r="H5" s="39" t="s">
        <v>69</v>
      </c>
      <c r="I5" s="39"/>
      <c r="J5" s="39"/>
      <c r="K5" s="39"/>
      <c r="L5" s="39"/>
      <c r="M5" s="39"/>
    </row>
    <row r="6" customFormat="false" ht="15" hidden="false" customHeight="false" outlineLevel="0" collapsed="false">
      <c r="A6" s="40"/>
      <c r="B6" s="41"/>
      <c r="C6" s="42" t="str">
        <f aca="false">IF($B6="","",IFERROR(INDEX('Credit Ledger'!$B$6:$B$45,MATCH($B6,'Credit Ledger'!$A$6:$A$45,0)),"** ID not found **"))</f>
        <v/>
      </c>
      <c r="D6" s="43"/>
      <c r="E6" s="44"/>
      <c r="F6" s="44"/>
      <c r="H6" s="45" t="s">
        <v>65</v>
      </c>
      <c r="I6" s="45" t="s">
        <v>3</v>
      </c>
      <c r="J6" s="45" t="s">
        <v>66</v>
      </c>
      <c r="K6" s="45" t="s">
        <v>67</v>
      </c>
      <c r="L6" s="45" t="s">
        <v>68</v>
      </c>
      <c r="M6" s="45" t="s">
        <v>15</v>
      </c>
    </row>
    <row r="7" customFormat="false" ht="15" hidden="false" customHeight="false" outlineLevel="0" collapsed="false">
      <c r="A7" s="40"/>
      <c r="B7" s="41"/>
      <c r="C7" s="42" t="str">
        <f aca="false">IF($B7="","",IFERROR(INDEX('Credit Ledger'!$B$6:$B$45,MATCH($B7,'Credit Ledger'!$A$6:$A$45,0)),"** ID not found **"))</f>
        <v/>
      </c>
      <c r="D7" s="43"/>
      <c r="E7" s="44"/>
      <c r="F7" s="44"/>
      <c r="H7" s="46" t="n">
        <v>46264</v>
      </c>
      <c r="I7" s="47" t="n">
        <v>20</v>
      </c>
      <c r="J7" s="47" t="s">
        <v>36</v>
      </c>
      <c r="K7" s="48" t="n">
        <v>700</v>
      </c>
      <c r="L7" s="47" t="s">
        <v>70</v>
      </c>
      <c r="M7" s="47" t="s">
        <v>71</v>
      </c>
    </row>
    <row r="8" customFormat="false" ht="15" hidden="false" customHeight="false" outlineLevel="0" collapsed="false">
      <c r="A8" s="40"/>
      <c r="B8" s="41"/>
      <c r="C8" s="42" t="str">
        <f aca="false">IF($B8="","",IFERROR(INDEX('Credit Ledger'!$B$6:$B$45,MATCH($B8,'Credit Ledger'!$A$6:$A$45,0)),"** ID not found **"))</f>
        <v/>
      </c>
      <c r="D8" s="43"/>
      <c r="E8" s="44"/>
      <c r="F8" s="44"/>
    </row>
    <row r="9" customFormat="false" ht="15" hidden="false" customHeight="true" outlineLevel="0" collapsed="false">
      <c r="A9" s="40"/>
      <c r="B9" s="41"/>
      <c r="C9" s="42" t="str">
        <f aca="false">IF($B9="","",IFERROR(INDEX('Credit Ledger'!$B$6:$B$45,MATCH($B9,'Credit Ledger'!$A$6:$A$45,0)),"** ID not found **"))</f>
        <v/>
      </c>
      <c r="D9" s="43"/>
      <c r="E9" s="44"/>
      <c r="F9" s="44"/>
      <c r="H9" s="49" t="s">
        <v>72</v>
      </c>
      <c r="I9" s="49"/>
      <c r="J9" s="49"/>
      <c r="K9" s="49"/>
      <c r="L9" s="49"/>
      <c r="M9" s="49"/>
    </row>
    <row r="10" customFormat="false" ht="15" hidden="false" customHeight="false" outlineLevel="0" collapsed="false">
      <c r="A10" s="40"/>
      <c r="B10" s="41"/>
      <c r="C10" s="42" t="str">
        <f aca="false">IF($B10="","",IFERROR(INDEX('Credit Ledger'!$B$6:$B$45,MATCH($B10,'Credit Ledger'!$A$6:$A$45,0)),"** ID not found **"))</f>
        <v/>
      </c>
      <c r="D10" s="43"/>
      <c r="E10" s="44"/>
      <c r="F10" s="44"/>
      <c r="H10" s="49"/>
      <c r="I10" s="49"/>
      <c r="J10" s="49"/>
      <c r="K10" s="49"/>
      <c r="L10" s="49"/>
      <c r="M10" s="49"/>
    </row>
    <row r="11" customFormat="false" ht="15" hidden="false" customHeight="false" outlineLevel="0" collapsed="false">
      <c r="A11" s="40"/>
      <c r="B11" s="41"/>
      <c r="C11" s="42" t="str">
        <f aca="false">IF($B11="","",IFERROR(INDEX('Credit Ledger'!$B$6:$B$45,MATCH($B11,'Credit Ledger'!$A$6:$A$45,0)),"** ID not found **"))</f>
        <v/>
      </c>
      <c r="D11" s="43"/>
      <c r="E11" s="44"/>
      <c r="F11" s="44"/>
    </row>
    <row r="12" customFormat="false" ht="15" hidden="false" customHeight="false" outlineLevel="0" collapsed="false">
      <c r="A12" s="40"/>
      <c r="B12" s="41"/>
      <c r="C12" s="42" t="str">
        <f aca="false">IF($B12="","",IFERROR(INDEX('Credit Ledger'!$B$6:$B$45,MATCH($B12,'Credit Ledger'!$A$6:$A$45,0)),"** ID not found **"))</f>
        <v/>
      </c>
      <c r="D12" s="43"/>
      <c r="E12" s="44"/>
      <c r="F12" s="44"/>
    </row>
    <row r="13" customFormat="false" ht="15" hidden="false" customHeight="false" outlineLevel="0" collapsed="false">
      <c r="A13" s="40"/>
      <c r="B13" s="41"/>
      <c r="C13" s="42" t="str">
        <f aca="false">IF($B13="","",IFERROR(INDEX('Credit Ledger'!$B$6:$B$45,MATCH($B13,'Credit Ledger'!$A$6:$A$45,0)),"** ID not found **"))</f>
        <v/>
      </c>
      <c r="D13" s="43"/>
      <c r="E13" s="44"/>
      <c r="F13" s="44"/>
    </row>
    <row r="14" customFormat="false" ht="15" hidden="false" customHeight="false" outlineLevel="0" collapsed="false">
      <c r="A14" s="40"/>
      <c r="B14" s="41"/>
      <c r="C14" s="42" t="str">
        <f aca="false">IF($B14="","",IFERROR(INDEX('Credit Ledger'!$B$6:$B$45,MATCH($B14,'Credit Ledger'!$A$6:$A$45,0)),"** ID not found **"))</f>
        <v/>
      </c>
      <c r="D14" s="43"/>
      <c r="E14" s="44"/>
      <c r="F14" s="44"/>
    </row>
    <row r="15" customFormat="false" ht="15" hidden="false" customHeight="false" outlineLevel="0" collapsed="false">
      <c r="A15" s="40"/>
      <c r="B15" s="41"/>
      <c r="C15" s="42" t="str">
        <f aca="false">IF($B15="","",IFERROR(INDEX('Credit Ledger'!$B$6:$B$45,MATCH($B15,'Credit Ledger'!$A$6:$A$45,0)),"** ID not found **"))</f>
        <v/>
      </c>
      <c r="D15" s="43"/>
      <c r="E15" s="44"/>
      <c r="F15" s="44"/>
    </row>
    <row r="16" customFormat="false" ht="15" hidden="false" customHeight="false" outlineLevel="0" collapsed="false">
      <c r="A16" s="40"/>
      <c r="B16" s="41"/>
      <c r="C16" s="42" t="str">
        <f aca="false">IF($B16="","",IFERROR(INDEX('Credit Ledger'!$B$6:$B$45,MATCH($B16,'Credit Ledger'!$A$6:$A$45,0)),"** ID not found **"))</f>
        <v/>
      </c>
      <c r="D16" s="43"/>
      <c r="E16" s="44"/>
      <c r="F16" s="44"/>
    </row>
    <row r="17" customFormat="false" ht="15" hidden="false" customHeight="false" outlineLevel="0" collapsed="false">
      <c r="A17" s="40"/>
      <c r="B17" s="41"/>
      <c r="C17" s="42" t="str">
        <f aca="false">IF($B17="","",IFERROR(INDEX('Credit Ledger'!$B$6:$B$45,MATCH($B17,'Credit Ledger'!$A$6:$A$45,0)),"** ID not found **"))</f>
        <v/>
      </c>
      <c r="D17" s="43"/>
      <c r="E17" s="44"/>
      <c r="F17" s="44"/>
    </row>
    <row r="18" customFormat="false" ht="15" hidden="false" customHeight="false" outlineLevel="0" collapsed="false">
      <c r="A18" s="40"/>
      <c r="B18" s="41"/>
      <c r="C18" s="42" t="str">
        <f aca="false">IF($B18="","",IFERROR(INDEX('Credit Ledger'!$B$6:$B$45,MATCH($B18,'Credit Ledger'!$A$6:$A$45,0)),"** ID not found **"))</f>
        <v/>
      </c>
      <c r="D18" s="43"/>
      <c r="E18" s="44"/>
      <c r="F18" s="44"/>
    </row>
    <row r="19" customFormat="false" ht="15" hidden="false" customHeight="false" outlineLevel="0" collapsed="false">
      <c r="A19" s="40"/>
      <c r="B19" s="41"/>
      <c r="C19" s="42" t="str">
        <f aca="false">IF($B19="","",IFERROR(INDEX('Credit Ledger'!$B$6:$B$45,MATCH($B19,'Credit Ledger'!$A$6:$A$45,0)),"** ID not found **"))</f>
        <v/>
      </c>
      <c r="D19" s="43"/>
      <c r="E19" s="44"/>
      <c r="F19" s="44"/>
    </row>
    <row r="20" customFormat="false" ht="15" hidden="false" customHeight="false" outlineLevel="0" collapsed="false">
      <c r="A20" s="40"/>
      <c r="B20" s="41"/>
      <c r="C20" s="42" t="str">
        <f aca="false">IF($B20="","",IFERROR(INDEX('Credit Ledger'!$B$6:$B$45,MATCH($B20,'Credit Ledger'!$A$6:$A$45,0)),"** ID not found **"))</f>
        <v/>
      </c>
      <c r="D20" s="43"/>
      <c r="E20" s="44"/>
      <c r="F20" s="44"/>
    </row>
    <row r="21" customFormat="false" ht="15" hidden="false" customHeight="false" outlineLevel="0" collapsed="false">
      <c r="A21" s="40"/>
      <c r="B21" s="41"/>
      <c r="C21" s="42" t="str">
        <f aca="false">IF($B21="","",IFERROR(INDEX('Credit Ledger'!$B$6:$B$45,MATCH($B21,'Credit Ledger'!$A$6:$A$45,0)),"** ID not found **"))</f>
        <v/>
      </c>
      <c r="D21" s="43"/>
      <c r="E21" s="44"/>
      <c r="F21" s="44"/>
    </row>
    <row r="22" customFormat="false" ht="15" hidden="false" customHeight="false" outlineLevel="0" collapsed="false">
      <c r="A22" s="40"/>
      <c r="B22" s="41"/>
      <c r="C22" s="42" t="str">
        <f aca="false">IF($B22="","",IFERROR(INDEX('Credit Ledger'!$B$6:$B$45,MATCH($B22,'Credit Ledger'!$A$6:$A$45,0)),"** ID not found **"))</f>
        <v/>
      </c>
      <c r="D22" s="43"/>
      <c r="E22" s="44"/>
      <c r="F22" s="44"/>
    </row>
    <row r="23" customFormat="false" ht="15" hidden="false" customHeight="false" outlineLevel="0" collapsed="false">
      <c r="A23" s="40"/>
      <c r="B23" s="41"/>
      <c r="C23" s="42" t="str">
        <f aca="false">IF($B23="","",IFERROR(INDEX('Credit Ledger'!$B$6:$B$45,MATCH($B23,'Credit Ledger'!$A$6:$A$45,0)),"** ID not found **"))</f>
        <v/>
      </c>
      <c r="D23" s="43"/>
      <c r="E23" s="44"/>
      <c r="F23" s="44"/>
    </row>
    <row r="24" customFormat="false" ht="15" hidden="false" customHeight="false" outlineLevel="0" collapsed="false">
      <c r="A24" s="40"/>
      <c r="B24" s="41"/>
      <c r="C24" s="42" t="str">
        <f aca="false">IF($B24="","",IFERROR(INDEX('Credit Ledger'!$B$6:$B$45,MATCH($B24,'Credit Ledger'!$A$6:$A$45,0)),"** ID not found **"))</f>
        <v/>
      </c>
      <c r="D24" s="43"/>
      <c r="E24" s="44"/>
      <c r="F24" s="44"/>
    </row>
    <row r="25" customFormat="false" ht="15" hidden="false" customHeight="false" outlineLevel="0" collapsed="false">
      <c r="A25" s="40"/>
      <c r="B25" s="41"/>
      <c r="C25" s="42" t="str">
        <f aca="false">IF($B25="","",IFERROR(INDEX('Credit Ledger'!$B$6:$B$45,MATCH($B25,'Credit Ledger'!$A$6:$A$45,0)),"** ID not found **"))</f>
        <v/>
      </c>
      <c r="D25" s="43"/>
      <c r="E25" s="44"/>
      <c r="F25" s="44"/>
    </row>
    <row r="26" customFormat="false" ht="15" hidden="false" customHeight="false" outlineLevel="0" collapsed="false">
      <c r="A26" s="40"/>
      <c r="B26" s="41"/>
      <c r="C26" s="42" t="str">
        <f aca="false">IF($B26="","",IFERROR(INDEX('Credit Ledger'!$B$6:$B$45,MATCH($B26,'Credit Ledger'!$A$6:$A$45,0)),"** ID not found **"))</f>
        <v/>
      </c>
      <c r="D26" s="43"/>
      <c r="E26" s="44"/>
      <c r="F26" s="44"/>
    </row>
    <row r="27" customFormat="false" ht="15" hidden="false" customHeight="false" outlineLevel="0" collapsed="false">
      <c r="A27" s="40"/>
      <c r="B27" s="41"/>
      <c r="C27" s="42" t="str">
        <f aca="false">IF($B27="","",IFERROR(INDEX('Credit Ledger'!$B$6:$B$45,MATCH($B27,'Credit Ledger'!$A$6:$A$45,0)),"** ID not found **"))</f>
        <v/>
      </c>
      <c r="D27" s="43"/>
      <c r="E27" s="44"/>
      <c r="F27" s="44"/>
    </row>
    <row r="28" customFormat="false" ht="15" hidden="false" customHeight="false" outlineLevel="0" collapsed="false">
      <c r="A28" s="40"/>
      <c r="B28" s="41"/>
      <c r="C28" s="42" t="str">
        <f aca="false">IF($B28="","",IFERROR(INDEX('Credit Ledger'!$B$6:$B$45,MATCH($B28,'Credit Ledger'!$A$6:$A$45,0)),"** ID not found **"))</f>
        <v/>
      </c>
      <c r="D28" s="43"/>
      <c r="E28" s="44"/>
      <c r="F28" s="44"/>
    </row>
    <row r="29" customFormat="false" ht="15" hidden="false" customHeight="false" outlineLevel="0" collapsed="false">
      <c r="A29" s="40"/>
      <c r="B29" s="41"/>
      <c r="C29" s="42" t="str">
        <f aca="false">IF($B29="","",IFERROR(INDEX('Credit Ledger'!$B$6:$B$45,MATCH($B29,'Credit Ledger'!$A$6:$A$45,0)),"** ID not found **"))</f>
        <v/>
      </c>
      <c r="D29" s="43"/>
      <c r="E29" s="44"/>
      <c r="F29" s="44"/>
    </row>
    <row r="30" customFormat="false" ht="15" hidden="false" customHeight="false" outlineLevel="0" collapsed="false">
      <c r="A30" s="40"/>
      <c r="B30" s="41"/>
      <c r="C30" s="42" t="str">
        <f aca="false">IF($B30="","",IFERROR(INDEX('Credit Ledger'!$B$6:$B$45,MATCH($B30,'Credit Ledger'!$A$6:$A$45,0)),"** ID not found **"))</f>
        <v/>
      </c>
      <c r="D30" s="43"/>
      <c r="E30" s="44"/>
      <c r="F30" s="44"/>
    </row>
    <row r="31" customFormat="false" ht="15" hidden="false" customHeight="false" outlineLevel="0" collapsed="false">
      <c r="A31" s="40"/>
      <c r="B31" s="41"/>
      <c r="C31" s="42" t="str">
        <f aca="false">IF($B31="","",IFERROR(INDEX('Credit Ledger'!$B$6:$B$45,MATCH($B31,'Credit Ledger'!$A$6:$A$45,0)),"** ID not found **"))</f>
        <v/>
      </c>
      <c r="D31" s="43"/>
      <c r="E31" s="44"/>
      <c r="F31" s="44"/>
    </row>
    <row r="32" customFormat="false" ht="15" hidden="false" customHeight="false" outlineLevel="0" collapsed="false">
      <c r="A32" s="40"/>
      <c r="B32" s="41"/>
      <c r="C32" s="42" t="str">
        <f aca="false">IF($B32="","",IFERROR(INDEX('Credit Ledger'!$B$6:$B$45,MATCH($B32,'Credit Ledger'!$A$6:$A$45,0)),"** ID not found **"))</f>
        <v/>
      </c>
      <c r="D32" s="43"/>
      <c r="E32" s="44"/>
      <c r="F32" s="44"/>
    </row>
    <row r="33" customFormat="false" ht="15" hidden="false" customHeight="false" outlineLevel="0" collapsed="false">
      <c r="A33" s="40"/>
      <c r="B33" s="41"/>
      <c r="C33" s="42" t="str">
        <f aca="false">IF($B33="","",IFERROR(INDEX('Credit Ledger'!$B$6:$B$45,MATCH($B33,'Credit Ledger'!$A$6:$A$45,0)),"** ID not found **"))</f>
        <v/>
      </c>
      <c r="D33" s="43"/>
      <c r="E33" s="44"/>
      <c r="F33" s="44"/>
    </row>
    <row r="34" customFormat="false" ht="15" hidden="false" customHeight="false" outlineLevel="0" collapsed="false">
      <c r="A34" s="40"/>
      <c r="B34" s="41"/>
      <c r="C34" s="42" t="str">
        <f aca="false">IF($B34="","",IFERROR(INDEX('Credit Ledger'!$B$6:$B$45,MATCH($B34,'Credit Ledger'!$A$6:$A$45,0)),"** ID not found **"))</f>
        <v/>
      </c>
      <c r="D34" s="43"/>
      <c r="E34" s="44"/>
      <c r="F34" s="44"/>
    </row>
    <row r="35" customFormat="false" ht="15" hidden="false" customHeight="false" outlineLevel="0" collapsed="false">
      <c r="A35" s="40"/>
      <c r="B35" s="41"/>
      <c r="C35" s="42" t="str">
        <f aca="false">IF($B35="","",IFERROR(INDEX('Credit Ledger'!$B$6:$B$45,MATCH($B35,'Credit Ledger'!$A$6:$A$45,0)),"** ID not found **"))</f>
        <v/>
      </c>
      <c r="D35" s="43"/>
      <c r="E35" s="44"/>
      <c r="F35" s="44"/>
    </row>
    <row r="36" customFormat="false" ht="15" hidden="false" customHeight="false" outlineLevel="0" collapsed="false">
      <c r="A36" s="40"/>
      <c r="B36" s="41"/>
      <c r="C36" s="42" t="str">
        <f aca="false">IF($B36="","",IFERROR(INDEX('Credit Ledger'!$B$6:$B$45,MATCH($B36,'Credit Ledger'!$A$6:$A$45,0)),"** ID not found **"))</f>
        <v/>
      </c>
      <c r="D36" s="43"/>
      <c r="E36" s="44"/>
      <c r="F36" s="44"/>
    </row>
    <row r="37" customFormat="false" ht="15" hidden="false" customHeight="false" outlineLevel="0" collapsed="false">
      <c r="A37" s="40"/>
      <c r="B37" s="41"/>
      <c r="C37" s="42" t="str">
        <f aca="false">IF($B37="","",IFERROR(INDEX('Credit Ledger'!$B$6:$B$45,MATCH($B37,'Credit Ledger'!$A$6:$A$45,0)),"** ID not found **"))</f>
        <v/>
      </c>
      <c r="D37" s="43"/>
      <c r="E37" s="44"/>
      <c r="F37" s="44"/>
    </row>
    <row r="38" customFormat="false" ht="15" hidden="false" customHeight="false" outlineLevel="0" collapsed="false">
      <c r="A38" s="40"/>
      <c r="B38" s="41"/>
      <c r="C38" s="42" t="str">
        <f aca="false">IF($B38="","",IFERROR(INDEX('Credit Ledger'!$B$6:$B$45,MATCH($B38,'Credit Ledger'!$A$6:$A$45,0)),"** ID not found **"))</f>
        <v/>
      </c>
      <c r="D38" s="43"/>
      <c r="E38" s="44"/>
      <c r="F38" s="44"/>
    </row>
    <row r="39" customFormat="false" ht="15" hidden="false" customHeight="false" outlineLevel="0" collapsed="false">
      <c r="A39" s="40"/>
      <c r="B39" s="41"/>
      <c r="C39" s="42" t="str">
        <f aca="false">IF($B39="","",IFERROR(INDEX('Credit Ledger'!$B$6:$B$45,MATCH($B39,'Credit Ledger'!$A$6:$A$45,0)),"** ID not found **"))</f>
        <v/>
      </c>
      <c r="D39" s="43"/>
      <c r="E39" s="44"/>
      <c r="F39" s="44"/>
    </row>
    <row r="40" customFormat="false" ht="15" hidden="false" customHeight="false" outlineLevel="0" collapsed="false">
      <c r="A40" s="40"/>
      <c r="B40" s="41"/>
      <c r="C40" s="42" t="str">
        <f aca="false">IF($B40="","",IFERROR(INDEX('Credit Ledger'!$B$6:$B$45,MATCH($B40,'Credit Ledger'!$A$6:$A$45,0)),"** ID not found **"))</f>
        <v/>
      </c>
      <c r="D40" s="43"/>
      <c r="E40" s="44"/>
      <c r="F40" s="44"/>
    </row>
    <row r="41" customFormat="false" ht="15" hidden="false" customHeight="false" outlineLevel="0" collapsed="false">
      <c r="A41" s="40"/>
      <c r="B41" s="41"/>
      <c r="C41" s="42" t="str">
        <f aca="false">IF($B41="","",IFERROR(INDEX('Credit Ledger'!$B$6:$B$45,MATCH($B41,'Credit Ledger'!$A$6:$A$45,0)),"** ID not found **"))</f>
        <v/>
      </c>
      <c r="D41" s="43"/>
      <c r="E41" s="44"/>
      <c r="F41" s="44"/>
    </row>
    <row r="42" customFormat="false" ht="15" hidden="false" customHeight="false" outlineLevel="0" collapsed="false">
      <c r="A42" s="40"/>
      <c r="B42" s="41"/>
      <c r="C42" s="42" t="str">
        <f aca="false">IF($B42="","",IFERROR(INDEX('Credit Ledger'!$B$6:$B$45,MATCH($B42,'Credit Ledger'!$A$6:$A$45,0)),"** ID not found **"))</f>
        <v/>
      </c>
      <c r="D42" s="43"/>
      <c r="E42" s="44"/>
      <c r="F42" s="44"/>
    </row>
    <row r="43" customFormat="false" ht="15" hidden="false" customHeight="false" outlineLevel="0" collapsed="false">
      <c r="A43" s="40"/>
      <c r="B43" s="41"/>
      <c r="C43" s="42" t="str">
        <f aca="false">IF($B43="","",IFERROR(INDEX('Credit Ledger'!$B$6:$B$45,MATCH($B43,'Credit Ledger'!$A$6:$A$45,0)),"** ID not found **"))</f>
        <v/>
      </c>
      <c r="D43" s="43"/>
      <c r="E43" s="44"/>
      <c r="F43" s="44"/>
    </row>
    <row r="44" customFormat="false" ht="15" hidden="false" customHeight="false" outlineLevel="0" collapsed="false">
      <c r="A44" s="40"/>
      <c r="B44" s="41"/>
      <c r="C44" s="42" t="str">
        <f aca="false">IF($B44="","",IFERROR(INDEX('Credit Ledger'!$B$6:$B$45,MATCH($B44,'Credit Ledger'!$A$6:$A$45,0)),"** ID not found **"))</f>
        <v/>
      </c>
      <c r="D44" s="43"/>
      <c r="E44" s="44"/>
      <c r="F44" s="44"/>
    </row>
    <row r="45" customFormat="false" ht="15" hidden="false" customHeight="false" outlineLevel="0" collapsed="false">
      <c r="A45" s="40"/>
      <c r="B45" s="41"/>
      <c r="C45" s="42" t="str">
        <f aca="false">IF($B45="","",IFERROR(INDEX('Credit Ledger'!$B$6:$B$45,MATCH($B45,'Credit Ledger'!$A$6:$A$45,0)),"** ID not found **"))</f>
        <v/>
      </c>
      <c r="D45" s="43"/>
      <c r="E45" s="44"/>
      <c r="F45" s="44"/>
    </row>
    <row r="46" customFormat="false" ht="15" hidden="false" customHeight="false" outlineLevel="0" collapsed="false">
      <c r="A46" s="40"/>
      <c r="B46" s="41"/>
      <c r="C46" s="42" t="str">
        <f aca="false">IF($B46="","",IFERROR(INDEX('Credit Ledger'!$B$6:$B$45,MATCH($B46,'Credit Ledger'!$A$6:$A$45,0)),"** ID not found **"))</f>
        <v/>
      </c>
      <c r="D46" s="43"/>
      <c r="E46" s="44"/>
      <c r="F46" s="44"/>
    </row>
    <row r="47" customFormat="false" ht="15" hidden="false" customHeight="false" outlineLevel="0" collapsed="false">
      <c r="A47" s="40"/>
      <c r="B47" s="41"/>
      <c r="C47" s="42" t="str">
        <f aca="false">IF($B47="","",IFERROR(INDEX('Credit Ledger'!$B$6:$B$45,MATCH($B47,'Credit Ledger'!$A$6:$A$45,0)),"** ID not found **"))</f>
        <v/>
      </c>
      <c r="D47" s="43"/>
      <c r="E47" s="44"/>
      <c r="F47" s="44"/>
    </row>
    <row r="48" customFormat="false" ht="15" hidden="false" customHeight="false" outlineLevel="0" collapsed="false">
      <c r="A48" s="40"/>
      <c r="B48" s="41"/>
      <c r="C48" s="42" t="str">
        <f aca="false">IF($B48="","",IFERROR(INDEX('Credit Ledger'!$B$6:$B$45,MATCH($B48,'Credit Ledger'!$A$6:$A$45,0)),"** ID not found **"))</f>
        <v/>
      </c>
      <c r="D48" s="43"/>
      <c r="E48" s="44"/>
      <c r="F48" s="44"/>
    </row>
    <row r="49" customFormat="false" ht="15" hidden="false" customHeight="false" outlineLevel="0" collapsed="false">
      <c r="A49" s="40"/>
      <c r="B49" s="41"/>
      <c r="C49" s="42" t="str">
        <f aca="false">IF($B49="","",IFERROR(INDEX('Credit Ledger'!$B$6:$B$45,MATCH($B49,'Credit Ledger'!$A$6:$A$45,0)),"** ID not found **"))</f>
        <v/>
      </c>
      <c r="D49" s="43"/>
      <c r="E49" s="44"/>
      <c r="F49" s="44"/>
    </row>
    <row r="50" customFormat="false" ht="15" hidden="false" customHeight="false" outlineLevel="0" collapsed="false">
      <c r="A50" s="40"/>
      <c r="B50" s="41"/>
      <c r="C50" s="42" t="str">
        <f aca="false">IF($B50="","",IFERROR(INDEX('Credit Ledger'!$B$6:$B$45,MATCH($B50,'Credit Ledger'!$A$6:$A$45,0)),"** ID not found **"))</f>
        <v/>
      </c>
      <c r="D50" s="43"/>
      <c r="E50" s="44"/>
      <c r="F50" s="44"/>
    </row>
    <row r="51" customFormat="false" ht="15" hidden="false" customHeight="false" outlineLevel="0" collapsed="false">
      <c r="A51" s="40"/>
      <c r="B51" s="41"/>
      <c r="C51" s="42" t="str">
        <f aca="false">IF($B51="","",IFERROR(INDEX('Credit Ledger'!$B$6:$B$45,MATCH($B51,'Credit Ledger'!$A$6:$A$45,0)),"** ID not found **"))</f>
        <v/>
      </c>
      <c r="D51" s="43"/>
      <c r="E51" s="44"/>
      <c r="F51" s="44"/>
    </row>
    <row r="52" customFormat="false" ht="15" hidden="false" customHeight="false" outlineLevel="0" collapsed="false">
      <c r="A52" s="40"/>
      <c r="B52" s="41"/>
      <c r="C52" s="42" t="str">
        <f aca="false">IF($B52="","",IFERROR(INDEX('Credit Ledger'!$B$6:$B$45,MATCH($B52,'Credit Ledger'!$A$6:$A$45,0)),"** ID not found **"))</f>
        <v/>
      </c>
      <c r="D52" s="43"/>
      <c r="E52" s="44"/>
      <c r="F52" s="44"/>
    </row>
    <row r="53" customFormat="false" ht="15" hidden="false" customHeight="false" outlineLevel="0" collapsed="false">
      <c r="A53" s="40"/>
      <c r="B53" s="41"/>
      <c r="C53" s="42" t="str">
        <f aca="false">IF($B53="","",IFERROR(INDEX('Credit Ledger'!$B$6:$B$45,MATCH($B53,'Credit Ledger'!$A$6:$A$45,0)),"** ID not found **"))</f>
        <v/>
      </c>
      <c r="D53" s="43"/>
      <c r="E53" s="44"/>
      <c r="F53" s="44"/>
    </row>
    <row r="54" customFormat="false" ht="15" hidden="false" customHeight="false" outlineLevel="0" collapsed="false">
      <c r="A54" s="40"/>
      <c r="B54" s="41"/>
      <c r="C54" s="42" t="str">
        <f aca="false">IF($B54="","",IFERROR(INDEX('Credit Ledger'!$B$6:$B$45,MATCH($B54,'Credit Ledger'!$A$6:$A$45,0)),"** ID not found **"))</f>
        <v/>
      </c>
      <c r="D54" s="43"/>
      <c r="E54" s="44"/>
      <c r="F54" s="44"/>
    </row>
    <row r="55" customFormat="false" ht="15" hidden="false" customHeight="false" outlineLevel="0" collapsed="false">
      <c r="A55" s="40"/>
      <c r="B55" s="41"/>
      <c r="C55" s="42" t="str">
        <f aca="false">IF($B55="","",IFERROR(INDEX('Credit Ledger'!$B$6:$B$45,MATCH($B55,'Credit Ledger'!$A$6:$A$45,0)),"** ID not found **"))</f>
        <v/>
      </c>
      <c r="D55" s="43"/>
      <c r="E55" s="44"/>
      <c r="F55" s="44"/>
    </row>
    <row r="56" customFormat="false" ht="15" hidden="false" customHeight="false" outlineLevel="0" collapsed="false">
      <c r="A56" s="40"/>
      <c r="B56" s="41"/>
      <c r="C56" s="42" t="str">
        <f aca="false">IF($B56="","",IFERROR(INDEX('Credit Ledger'!$B$6:$B$45,MATCH($B56,'Credit Ledger'!$A$6:$A$45,0)),"** ID not found **"))</f>
        <v/>
      </c>
      <c r="D56" s="43"/>
      <c r="E56" s="44"/>
      <c r="F56" s="44"/>
    </row>
    <row r="57" customFormat="false" ht="15" hidden="false" customHeight="false" outlineLevel="0" collapsed="false">
      <c r="A57" s="40"/>
      <c r="B57" s="41"/>
      <c r="C57" s="42" t="str">
        <f aca="false">IF($B57="","",IFERROR(INDEX('Credit Ledger'!$B$6:$B$45,MATCH($B57,'Credit Ledger'!$A$6:$A$45,0)),"** ID not found **"))</f>
        <v/>
      </c>
      <c r="D57" s="43"/>
      <c r="E57" s="44"/>
      <c r="F57" s="44"/>
    </row>
    <row r="58" customFormat="false" ht="15" hidden="false" customHeight="false" outlineLevel="0" collapsed="false">
      <c r="A58" s="40"/>
      <c r="B58" s="41"/>
      <c r="C58" s="42" t="str">
        <f aca="false">IF($B58="","",IFERROR(INDEX('Credit Ledger'!$B$6:$B$45,MATCH($B58,'Credit Ledger'!$A$6:$A$45,0)),"** ID not found **"))</f>
        <v/>
      </c>
      <c r="D58" s="43"/>
      <c r="E58" s="44"/>
      <c r="F58" s="44"/>
    </row>
    <row r="59" customFormat="false" ht="15" hidden="false" customHeight="false" outlineLevel="0" collapsed="false">
      <c r="A59" s="40"/>
      <c r="B59" s="41"/>
      <c r="C59" s="42" t="str">
        <f aca="false">IF($B59="","",IFERROR(INDEX('Credit Ledger'!$B$6:$B$45,MATCH($B59,'Credit Ledger'!$A$6:$A$45,0)),"** ID not found **"))</f>
        <v/>
      </c>
      <c r="D59" s="43"/>
      <c r="E59" s="44"/>
      <c r="F59" s="44"/>
    </row>
    <row r="60" customFormat="false" ht="15" hidden="false" customHeight="false" outlineLevel="0" collapsed="false">
      <c r="A60" s="40"/>
      <c r="B60" s="41"/>
      <c r="C60" s="42" t="str">
        <f aca="false">IF($B60="","",IFERROR(INDEX('Credit Ledger'!$B$6:$B$45,MATCH($B60,'Credit Ledger'!$A$6:$A$45,0)),"** ID not found **"))</f>
        <v/>
      </c>
      <c r="D60" s="43"/>
      <c r="E60" s="44"/>
      <c r="F60" s="44"/>
    </row>
    <row r="61" customFormat="false" ht="15" hidden="false" customHeight="false" outlineLevel="0" collapsed="false">
      <c r="A61" s="40"/>
      <c r="B61" s="41"/>
      <c r="C61" s="42" t="str">
        <f aca="false">IF($B61="","",IFERROR(INDEX('Credit Ledger'!$B$6:$B$45,MATCH($B61,'Credit Ledger'!$A$6:$A$45,0)),"** ID not found **"))</f>
        <v/>
      </c>
      <c r="D61" s="43"/>
      <c r="E61" s="44"/>
      <c r="F61" s="44"/>
    </row>
    <row r="62" customFormat="false" ht="15" hidden="false" customHeight="false" outlineLevel="0" collapsed="false">
      <c r="A62" s="40"/>
      <c r="B62" s="41"/>
      <c r="C62" s="42" t="str">
        <f aca="false">IF($B62="","",IFERROR(INDEX('Credit Ledger'!$B$6:$B$45,MATCH($B62,'Credit Ledger'!$A$6:$A$45,0)),"** ID not found **"))</f>
        <v/>
      </c>
      <c r="D62" s="43"/>
      <c r="E62" s="44"/>
      <c r="F62" s="44"/>
    </row>
    <row r="63" customFormat="false" ht="15" hidden="false" customHeight="false" outlineLevel="0" collapsed="false">
      <c r="A63" s="40"/>
      <c r="B63" s="41"/>
      <c r="C63" s="42" t="str">
        <f aca="false">IF($B63="","",IFERROR(INDEX('Credit Ledger'!$B$6:$B$45,MATCH($B63,'Credit Ledger'!$A$6:$A$45,0)),"** ID not found **"))</f>
        <v/>
      </c>
      <c r="D63" s="43"/>
      <c r="E63" s="44"/>
      <c r="F63" s="44"/>
    </row>
    <row r="64" customFormat="false" ht="15" hidden="false" customHeight="false" outlineLevel="0" collapsed="false">
      <c r="A64" s="40"/>
      <c r="B64" s="41"/>
      <c r="C64" s="42" t="str">
        <f aca="false">IF($B64="","",IFERROR(INDEX('Credit Ledger'!$B$6:$B$45,MATCH($B64,'Credit Ledger'!$A$6:$A$45,0)),"** ID not found **"))</f>
        <v/>
      </c>
      <c r="D64" s="43"/>
      <c r="E64" s="44"/>
      <c r="F64" s="44"/>
    </row>
    <row r="65" customFormat="false" ht="15" hidden="false" customHeight="false" outlineLevel="0" collapsed="false">
      <c r="A65" s="40"/>
      <c r="B65" s="41"/>
      <c r="C65" s="42" t="str">
        <f aca="false">IF($B65="","",IFERROR(INDEX('Credit Ledger'!$B$6:$B$45,MATCH($B65,'Credit Ledger'!$A$6:$A$45,0)),"** ID not found **"))</f>
        <v/>
      </c>
      <c r="D65" s="43"/>
      <c r="E65" s="44"/>
      <c r="F65" s="44"/>
    </row>
    <row r="66" customFormat="false" ht="15" hidden="false" customHeight="false" outlineLevel="0" collapsed="false">
      <c r="A66" s="40"/>
      <c r="B66" s="41"/>
      <c r="C66" s="42" t="str">
        <f aca="false">IF($B66="","",IFERROR(INDEX('Credit Ledger'!$B$6:$B$45,MATCH($B66,'Credit Ledger'!$A$6:$A$45,0)),"** ID not found **"))</f>
        <v/>
      </c>
      <c r="D66" s="43"/>
      <c r="E66" s="44"/>
      <c r="F66" s="44"/>
    </row>
    <row r="67" customFormat="false" ht="15" hidden="false" customHeight="false" outlineLevel="0" collapsed="false">
      <c r="A67" s="40"/>
      <c r="B67" s="41"/>
      <c r="C67" s="42" t="str">
        <f aca="false">IF($B67="","",IFERROR(INDEX('Credit Ledger'!$B$6:$B$45,MATCH($B67,'Credit Ledger'!$A$6:$A$45,0)),"** ID not found **"))</f>
        <v/>
      </c>
      <c r="D67" s="43"/>
      <c r="E67" s="44"/>
      <c r="F67" s="44"/>
    </row>
    <row r="68" customFormat="false" ht="15" hidden="false" customHeight="false" outlineLevel="0" collapsed="false">
      <c r="A68" s="40"/>
      <c r="B68" s="41"/>
      <c r="C68" s="42" t="str">
        <f aca="false">IF($B68="","",IFERROR(INDEX('Credit Ledger'!$B$6:$B$45,MATCH($B68,'Credit Ledger'!$A$6:$A$45,0)),"** ID not found **"))</f>
        <v/>
      </c>
      <c r="D68" s="43"/>
      <c r="E68" s="44"/>
      <c r="F68" s="44"/>
    </row>
    <row r="69" customFormat="false" ht="15" hidden="false" customHeight="false" outlineLevel="0" collapsed="false">
      <c r="A69" s="40"/>
      <c r="B69" s="41"/>
      <c r="C69" s="42" t="str">
        <f aca="false">IF($B69="","",IFERROR(INDEX('Credit Ledger'!$B$6:$B$45,MATCH($B69,'Credit Ledger'!$A$6:$A$45,0)),"** ID not found **"))</f>
        <v/>
      </c>
      <c r="D69" s="43"/>
      <c r="E69" s="44"/>
      <c r="F69" s="44"/>
    </row>
    <row r="70" customFormat="false" ht="15" hidden="false" customHeight="false" outlineLevel="0" collapsed="false">
      <c r="A70" s="40"/>
      <c r="B70" s="41"/>
      <c r="C70" s="42" t="str">
        <f aca="false">IF($B70="","",IFERROR(INDEX('Credit Ledger'!$B$6:$B$45,MATCH($B70,'Credit Ledger'!$A$6:$A$45,0)),"** ID not found **"))</f>
        <v/>
      </c>
      <c r="D70" s="43"/>
      <c r="E70" s="44"/>
      <c r="F70" s="44"/>
    </row>
    <row r="71" customFormat="false" ht="15" hidden="false" customHeight="false" outlineLevel="0" collapsed="false">
      <c r="A71" s="40"/>
      <c r="B71" s="41"/>
      <c r="C71" s="42" t="str">
        <f aca="false">IF($B71="","",IFERROR(INDEX('Credit Ledger'!$B$6:$B$45,MATCH($B71,'Credit Ledger'!$A$6:$A$45,0)),"** ID not found **"))</f>
        <v/>
      </c>
      <c r="D71" s="43"/>
      <c r="E71" s="44"/>
      <c r="F71" s="44"/>
    </row>
    <row r="72" customFormat="false" ht="15" hidden="false" customHeight="false" outlineLevel="0" collapsed="false">
      <c r="A72" s="40"/>
      <c r="B72" s="41"/>
      <c r="C72" s="42" t="str">
        <f aca="false">IF($B72="","",IFERROR(INDEX('Credit Ledger'!$B$6:$B$45,MATCH($B72,'Credit Ledger'!$A$6:$A$45,0)),"** ID not found **"))</f>
        <v/>
      </c>
      <c r="D72" s="43"/>
      <c r="E72" s="44"/>
      <c r="F72" s="44"/>
    </row>
    <row r="73" customFormat="false" ht="15" hidden="false" customHeight="false" outlineLevel="0" collapsed="false">
      <c r="A73" s="40"/>
      <c r="B73" s="41"/>
      <c r="C73" s="42" t="str">
        <f aca="false">IF($B73="","",IFERROR(INDEX('Credit Ledger'!$B$6:$B$45,MATCH($B73,'Credit Ledger'!$A$6:$A$45,0)),"** ID not found **"))</f>
        <v/>
      </c>
      <c r="D73" s="43"/>
      <c r="E73" s="44"/>
      <c r="F73" s="44"/>
    </row>
    <row r="74" customFormat="false" ht="15" hidden="false" customHeight="false" outlineLevel="0" collapsed="false">
      <c r="A74" s="40"/>
      <c r="B74" s="41"/>
      <c r="C74" s="42" t="str">
        <f aca="false">IF($B74="","",IFERROR(INDEX('Credit Ledger'!$B$6:$B$45,MATCH($B74,'Credit Ledger'!$A$6:$A$45,0)),"** ID not found **"))</f>
        <v/>
      </c>
      <c r="D74" s="43"/>
      <c r="E74" s="44"/>
      <c r="F74" s="44"/>
    </row>
    <row r="75" customFormat="false" ht="15" hidden="false" customHeight="false" outlineLevel="0" collapsed="false">
      <c r="A75" s="40"/>
      <c r="B75" s="41"/>
      <c r="C75" s="42" t="str">
        <f aca="false">IF($B75="","",IFERROR(INDEX('Credit Ledger'!$B$6:$B$45,MATCH($B75,'Credit Ledger'!$A$6:$A$45,0)),"** ID not found **"))</f>
        <v/>
      </c>
      <c r="D75" s="43"/>
      <c r="E75" s="44"/>
      <c r="F75" s="44"/>
    </row>
    <row r="76" customFormat="false" ht="15" hidden="false" customHeight="false" outlineLevel="0" collapsed="false">
      <c r="A76" s="40"/>
      <c r="B76" s="41"/>
      <c r="C76" s="42" t="str">
        <f aca="false">IF($B76="","",IFERROR(INDEX('Credit Ledger'!$B$6:$B$45,MATCH($B76,'Credit Ledger'!$A$6:$A$45,0)),"** ID not found **"))</f>
        <v/>
      </c>
      <c r="D76" s="43"/>
      <c r="E76" s="44"/>
      <c r="F76" s="44"/>
    </row>
    <row r="77" customFormat="false" ht="15" hidden="false" customHeight="false" outlineLevel="0" collapsed="false">
      <c r="A77" s="40"/>
      <c r="B77" s="41"/>
      <c r="C77" s="42" t="str">
        <f aca="false">IF($B77="","",IFERROR(INDEX('Credit Ledger'!$B$6:$B$45,MATCH($B77,'Credit Ledger'!$A$6:$A$45,0)),"** ID not found **"))</f>
        <v/>
      </c>
      <c r="D77" s="43"/>
      <c r="E77" s="44"/>
      <c r="F77" s="44"/>
    </row>
    <row r="78" customFormat="false" ht="15" hidden="false" customHeight="false" outlineLevel="0" collapsed="false">
      <c r="A78" s="40"/>
      <c r="B78" s="41"/>
      <c r="C78" s="42" t="str">
        <f aca="false">IF($B78="","",IFERROR(INDEX('Credit Ledger'!$B$6:$B$45,MATCH($B78,'Credit Ledger'!$A$6:$A$45,0)),"** ID not found **"))</f>
        <v/>
      </c>
      <c r="D78" s="43"/>
      <c r="E78" s="44"/>
      <c r="F78" s="44"/>
    </row>
    <row r="79" customFormat="false" ht="15" hidden="false" customHeight="false" outlineLevel="0" collapsed="false">
      <c r="A79" s="40"/>
      <c r="B79" s="41"/>
      <c r="C79" s="42" t="str">
        <f aca="false">IF($B79="","",IFERROR(INDEX('Credit Ledger'!$B$6:$B$45,MATCH($B79,'Credit Ledger'!$A$6:$A$45,0)),"** ID not found **"))</f>
        <v/>
      </c>
      <c r="D79" s="43"/>
      <c r="E79" s="44"/>
      <c r="F79" s="44"/>
    </row>
    <row r="80" customFormat="false" ht="15" hidden="false" customHeight="false" outlineLevel="0" collapsed="false">
      <c r="A80" s="40"/>
      <c r="B80" s="41"/>
      <c r="C80" s="42" t="str">
        <f aca="false">IF($B80="","",IFERROR(INDEX('Credit Ledger'!$B$6:$B$45,MATCH($B80,'Credit Ledger'!$A$6:$A$45,0)),"** ID not found **"))</f>
        <v/>
      </c>
      <c r="D80" s="43"/>
      <c r="E80" s="44"/>
      <c r="F80" s="44"/>
    </row>
    <row r="81" customFormat="false" ht="15" hidden="false" customHeight="false" outlineLevel="0" collapsed="false">
      <c r="A81" s="40"/>
      <c r="B81" s="41"/>
      <c r="C81" s="42" t="str">
        <f aca="false">IF($B81="","",IFERROR(INDEX('Credit Ledger'!$B$6:$B$45,MATCH($B81,'Credit Ledger'!$A$6:$A$45,0)),"** ID not found **"))</f>
        <v/>
      </c>
      <c r="D81" s="43"/>
      <c r="E81" s="44"/>
      <c r="F81" s="44"/>
    </row>
    <row r="82" customFormat="false" ht="15" hidden="false" customHeight="false" outlineLevel="0" collapsed="false">
      <c r="A82" s="40"/>
      <c r="B82" s="41"/>
      <c r="C82" s="42" t="str">
        <f aca="false">IF($B82="","",IFERROR(INDEX('Credit Ledger'!$B$6:$B$45,MATCH($B82,'Credit Ledger'!$A$6:$A$45,0)),"** ID not found **"))</f>
        <v/>
      </c>
      <c r="D82" s="43"/>
      <c r="E82" s="44"/>
      <c r="F82" s="44"/>
    </row>
    <row r="83" customFormat="false" ht="15" hidden="false" customHeight="false" outlineLevel="0" collapsed="false">
      <c r="A83" s="40"/>
      <c r="B83" s="41"/>
      <c r="C83" s="42" t="str">
        <f aca="false">IF($B83="","",IFERROR(INDEX('Credit Ledger'!$B$6:$B$45,MATCH($B83,'Credit Ledger'!$A$6:$A$45,0)),"** ID not found **"))</f>
        <v/>
      </c>
      <c r="D83" s="43"/>
      <c r="E83" s="44"/>
      <c r="F83" s="44"/>
    </row>
    <row r="84" customFormat="false" ht="15" hidden="false" customHeight="false" outlineLevel="0" collapsed="false">
      <c r="A84" s="40"/>
      <c r="B84" s="41"/>
      <c r="C84" s="42" t="str">
        <f aca="false">IF($B84="","",IFERROR(INDEX('Credit Ledger'!$B$6:$B$45,MATCH($B84,'Credit Ledger'!$A$6:$A$45,0)),"** ID not found **"))</f>
        <v/>
      </c>
      <c r="D84" s="43"/>
      <c r="E84" s="44"/>
      <c r="F84" s="44"/>
    </row>
    <row r="85" customFormat="false" ht="15" hidden="false" customHeight="false" outlineLevel="0" collapsed="false">
      <c r="A85" s="40"/>
      <c r="B85" s="41"/>
      <c r="C85" s="42" t="str">
        <f aca="false">IF($B85="","",IFERROR(INDEX('Credit Ledger'!$B$6:$B$45,MATCH($B85,'Credit Ledger'!$A$6:$A$45,0)),"** ID not found **"))</f>
        <v/>
      </c>
      <c r="D85" s="43"/>
      <c r="E85" s="44"/>
      <c r="F85" s="44"/>
    </row>
    <row r="86" customFormat="false" ht="15" hidden="false" customHeight="false" outlineLevel="0" collapsed="false">
      <c r="A86" s="40"/>
      <c r="B86" s="41"/>
      <c r="C86" s="42" t="str">
        <f aca="false">IF($B86="","",IFERROR(INDEX('Credit Ledger'!$B$6:$B$45,MATCH($B86,'Credit Ledger'!$A$6:$A$45,0)),"** ID not found **"))</f>
        <v/>
      </c>
      <c r="D86" s="43"/>
      <c r="E86" s="44"/>
      <c r="F86" s="44"/>
    </row>
    <row r="87" customFormat="false" ht="15" hidden="false" customHeight="false" outlineLevel="0" collapsed="false">
      <c r="A87" s="40"/>
      <c r="B87" s="41"/>
      <c r="C87" s="42" t="str">
        <f aca="false">IF($B87="","",IFERROR(INDEX('Credit Ledger'!$B$6:$B$45,MATCH($B87,'Credit Ledger'!$A$6:$A$45,0)),"** ID not found **"))</f>
        <v/>
      </c>
      <c r="D87" s="43"/>
      <c r="E87" s="44"/>
      <c r="F87" s="44"/>
    </row>
    <row r="88" customFormat="false" ht="15" hidden="false" customHeight="false" outlineLevel="0" collapsed="false">
      <c r="A88" s="40"/>
      <c r="B88" s="41"/>
      <c r="C88" s="42" t="str">
        <f aca="false">IF($B88="","",IFERROR(INDEX('Credit Ledger'!$B$6:$B$45,MATCH($B88,'Credit Ledger'!$A$6:$A$45,0)),"** ID not found **"))</f>
        <v/>
      </c>
      <c r="D88" s="43"/>
      <c r="E88" s="44"/>
      <c r="F88" s="44"/>
    </row>
    <row r="89" customFormat="false" ht="15" hidden="false" customHeight="false" outlineLevel="0" collapsed="false">
      <c r="A89" s="40"/>
      <c r="B89" s="41"/>
      <c r="C89" s="42" t="str">
        <f aca="false">IF($B89="","",IFERROR(INDEX('Credit Ledger'!$B$6:$B$45,MATCH($B89,'Credit Ledger'!$A$6:$A$45,0)),"** ID not found **"))</f>
        <v/>
      </c>
      <c r="D89" s="43"/>
      <c r="E89" s="44"/>
      <c r="F89" s="44"/>
    </row>
    <row r="90" customFormat="false" ht="15" hidden="false" customHeight="false" outlineLevel="0" collapsed="false">
      <c r="A90" s="40"/>
      <c r="B90" s="41"/>
      <c r="C90" s="42" t="str">
        <f aca="false">IF($B90="","",IFERROR(INDEX('Credit Ledger'!$B$6:$B$45,MATCH($B90,'Credit Ledger'!$A$6:$A$45,0)),"** ID not found **"))</f>
        <v/>
      </c>
      <c r="D90" s="43"/>
      <c r="E90" s="44"/>
      <c r="F90" s="44"/>
    </row>
    <row r="91" customFormat="false" ht="15" hidden="false" customHeight="false" outlineLevel="0" collapsed="false">
      <c r="A91" s="40"/>
      <c r="B91" s="41"/>
      <c r="C91" s="42" t="str">
        <f aca="false">IF($B91="","",IFERROR(INDEX('Credit Ledger'!$B$6:$B$45,MATCH($B91,'Credit Ledger'!$A$6:$A$45,0)),"** ID not found **"))</f>
        <v/>
      </c>
      <c r="D91" s="43"/>
      <c r="E91" s="44"/>
      <c r="F91" s="44"/>
    </row>
    <row r="92" customFormat="false" ht="15" hidden="false" customHeight="false" outlineLevel="0" collapsed="false">
      <c r="A92" s="40"/>
      <c r="B92" s="41"/>
      <c r="C92" s="42" t="str">
        <f aca="false">IF($B92="","",IFERROR(INDEX('Credit Ledger'!$B$6:$B$45,MATCH($B92,'Credit Ledger'!$A$6:$A$45,0)),"** ID not found **"))</f>
        <v/>
      </c>
      <c r="D92" s="43"/>
      <c r="E92" s="44"/>
      <c r="F92" s="44"/>
    </row>
    <row r="93" customFormat="false" ht="15" hidden="false" customHeight="false" outlineLevel="0" collapsed="false">
      <c r="A93" s="40"/>
      <c r="B93" s="41"/>
      <c r="C93" s="42" t="str">
        <f aca="false">IF($B93="","",IFERROR(INDEX('Credit Ledger'!$B$6:$B$45,MATCH($B93,'Credit Ledger'!$A$6:$A$45,0)),"** ID not found **"))</f>
        <v/>
      </c>
      <c r="D93" s="43"/>
      <c r="E93" s="44"/>
      <c r="F93" s="44"/>
    </row>
    <row r="94" customFormat="false" ht="15" hidden="false" customHeight="false" outlineLevel="0" collapsed="false">
      <c r="A94" s="40"/>
      <c r="B94" s="41"/>
      <c r="C94" s="42" t="str">
        <f aca="false">IF($B94="","",IFERROR(INDEX('Credit Ledger'!$B$6:$B$45,MATCH($B94,'Credit Ledger'!$A$6:$A$45,0)),"** ID not found **"))</f>
        <v/>
      </c>
      <c r="D94" s="43"/>
      <c r="E94" s="44"/>
      <c r="F94" s="44"/>
    </row>
    <row r="95" customFormat="false" ht="15" hidden="false" customHeight="false" outlineLevel="0" collapsed="false">
      <c r="A95" s="40"/>
      <c r="B95" s="41"/>
      <c r="C95" s="42" t="str">
        <f aca="false">IF($B95="","",IFERROR(INDEX('Credit Ledger'!$B$6:$B$45,MATCH($B95,'Credit Ledger'!$A$6:$A$45,0)),"** ID not found **"))</f>
        <v/>
      </c>
      <c r="D95" s="43"/>
      <c r="E95" s="44"/>
      <c r="F95" s="44"/>
    </row>
    <row r="96" customFormat="false" ht="15" hidden="false" customHeight="false" outlineLevel="0" collapsed="false">
      <c r="A96" s="40"/>
      <c r="B96" s="41"/>
      <c r="C96" s="42" t="str">
        <f aca="false">IF($B96="","",IFERROR(INDEX('Credit Ledger'!$B$6:$B$45,MATCH($B96,'Credit Ledger'!$A$6:$A$45,0)),"** ID not found **"))</f>
        <v/>
      </c>
      <c r="D96" s="43"/>
      <c r="E96" s="44"/>
      <c r="F96" s="44"/>
    </row>
    <row r="97" customFormat="false" ht="15" hidden="false" customHeight="false" outlineLevel="0" collapsed="false">
      <c r="A97" s="40"/>
      <c r="B97" s="41"/>
      <c r="C97" s="42" t="str">
        <f aca="false">IF($B97="","",IFERROR(INDEX('Credit Ledger'!$B$6:$B$45,MATCH($B97,'Credit Ledger'!$A$6:$A$45,0)),"** ID not found **"))</f>
        <v/>
      </c>
      <c r="D97" s="43"/>
      <c r="E97" s="44"/>
      <c r="F97" s="44"/>
    </row>
    <row r="98" customFormat="false" ht="15" hidden="false" customHeight="false" outlineLevel="0" collapsed="false">
      <c r="A98" s="40"/>
      <c r="B98" s="41"/>
      <c r="C98" s="42" t="str">
        <f aca="false">IF($B98="","",IFERROR(INDEX('Credit Ledger'!$B$6:$B$45,MATCH($B98,'Credit Ledger'!$A$6:$A$45,0)),"** ID not found **"))</f>
        <v/>
      </c>
      <c r="D98" s="43"/>
      <c r="E98" s="44"/>
      <c r="F98" s="44"/>
    </row>
    <row r="99" customFormat="false" ht="15" hidden="false" customHeight="false" outlineLevel="0" collapsed="false">
      <c r="A99" s="40"/>
      <c r="B99" s="41"/>
      <c r="C99" s="42" t="str">
        <f aca="false">IF($B99="","",IFERROR(INDEX('Credit Ledger'!$B$6:$B$45,MATCH($B99,'Credit Ledger'!$A$6:$A$45,0)),"** ID not found **"))</f>
        <v/>
      </c>
      <c r="D99" s="43"/>
      <c r="E99" s="44"/>
      <c r="F99" s="44"/>
    </row>
    <row r="100" customFormat="false" ht="15" hidden="false" customHeight="false" outlineLevel="0" collapsed="false">
      <c r="A100" s="40"/>
      <c r="B100" s="41"/>
      <c r="C100" s="42" t="str">
        <f aca="false">IF($B100="","",IFERROR(INDEX('Credit Ledger'!$B$6:$B$45,MATCH($B100,'Credit Ledger'!$A$6:$A$45,0)),"** ID not found **"))</f>
        <v/>
      </c>
      <c r="D100" s="43"/>
      <c r="E100" s="44"/>
      <c r="F100" s="44"/>
    </row>
    <row r="101" customFormat="false" ht="15" hidden="false" customHeight="false" outlineLevel="0" collapsed="false">
      <c r="A101" s="40"/>
      <c r="B101" s="41"/>
      <c r="C101" s="42" t="str">
        <f aca="false">IF($B101="","",IFERROR(INDEX('Credit Ledger'!$B$6:$B$45,MATCH($B101,'Credit Ledger'!$A$6:$A$45,0)),"** ID not found **"))</f>
        <v/>
      </c>
      <c r="D101" s="43"/>
      <c r="E101" s="44"/>
      <c r="F101" s="44"/>
    </row>
    <row r="102" customFormat="false" ht="15" hidden="false" customHeight="false" outlineLevel="0" collapsed="false">
      <c r="A102" s="40"/>
      <c r="B102" s="41"/>
      <c r="C102" s="42" t="str">
        <f aca="false">IF($B102="","",IFERROR(INDEX('Credit Ledger'!$B$6:$B$45,MATCH($B102,'Credit Ledger'!$A$6:$A$45,0)),"** ID not found **"))</f>
        <v/>
      </c>
      <c r="D102" s="43"/>
      <c r="E102" s="44"/>
      <c r="F102" s="44"/>
    </row>
    <row r="103" customFormat="false" ht="15" hidden="false" customHeight="false" outlineLevel="0" collapsed="false">
      <c r="A103" s="40"/>
      <c r="B103" s="41"/>
      <c r="C103" s="42" t="str">
        <f aca="false">IF($B103="","",IFERROR(INDEX('Credit Ledger'!$B$6:$B$45,MATCH($B103,'Credit Ledger'!$A$6:$A$45,0)),"** ID not found **"))</f>
        <v/>
      </c>
      <c r="D103" s="43"/>
      <c r="E103" s="44"/>
      <c r="F103" s="44"/>
    </row>
    <row r="104" customFormat="false" ht="15" hidden="false" customHeight="false" outlineLevel="0" collapsed="false">
      <c r="A104" s="40"/>
      <c r="B104" s="41"/>
      <c r="C104" s="42" t="str">
        <f aca="false">IF($B104="","",IFERROR(INDEX('Credit Ledger'!$B$6:$B$45,MATCH($B104,'Credit Ledger'!$A$6:$A$45,0)),"** ID not found **"))</f>
        <v/>
      </c>
      <c r="D104" s="43"/>
      <c r="E104" s="44"/>
      <c r="F104" s="44"/>
    </row>
    <row r="105" customFormat="false" ht="15" hidden="false" customHeight="false" outlineLevel="0" collapsed="false">
      <c r="A105" s="40"/>
      <c r="B105" s="41"/>
      <c r="C105" s="42" t="str">
        <f aca="false">IF($B105="","",IFERROR(INDEX('Credit Ledger'!$B$6:$B$45,MATCH($B105,'Credit Ledger'!$A$6:$A$45,0)),"** ID not found **"))</f>
        <v/>
      </c>
      <c r="D105" s="43"/>
      <c r="E105" s="44"/>
      <c r="F105" s="44"/>
    </row>
    <row r="106" customFormat="false" ht="15" hidden="false" customHeight="false" outlineLevel="0" collapsed="false">
      <c r="A106" s="40"/>
      <c r="B106" s="41"/>
      <c r="C106" s="42" t="str">
        <f aca="false">IF($B106="","",IFERROR(INDEX('Credit Ledger'!$B$6:$B$45,MATCH($B106,'Credit Ledger'!$A$6:$A$45,0)),"** ID not found **"))</f>
        <v/>
      </c>
      <c r="D106" s="43"/>
      <c r="E106" s="44"/>
      <c r="F106" s="44"/>
    </row>
    <row r="107" customFormat="false" ht="15" hidden="false" customHeight="false" outlineLevel="0" collapsed="false">
      <c r="A107" s="40"/>
      <c r="B107" s="41"/>
      <c r="C107" s="42" t="str">
        <f aca="false">IF($B107="","",IFERROR(INDEX('Credit Ledger'!$B$6:$B$45,MATCH($B107,'Credit Ledger'!$A$6:$A$45,0)),"** ID not found **"))</f>
        <v/>
      </c>
      <c r="D107" s="43"/>
      <c r="E107" s="44"/>
      <c r="F107" s="44"/>
    </row>
    <row r="108" customFormat="false" ht="15" hidden="false" customHeight="false" outlineLevel="0" collapsed="false">
      <c r="A108" s="40"/>
      <c r="B108" s="41"/>
      <c r="C108" s="42" t="str">
        <f aca="false">IF($B108="","",IFERROR(INDEX('Credit Ledger'!$B$6:$B$45,MATCH($B108,'Credit Ledger'!$A$6:$A$45,0)),"** ID not found **"))</f>
        <v/>
      </c>
      <c r="D108" s="43"/>
      <c r="E108" s="44"/>
      <c r="F108" s="44"/>
    </row>
    <row r="109" customFormat="false" ht="15" hidden="false" customHeight="false" outlineLevel="0" collapsed="false">
      <c r="A109" s="40"/>
      <c r="B109" s="41"/>
      <c r="C109" s="42" t="str">
        <f aca="false">IF($B109="","",IFERROR(INDEX('Credit Ledger'!$B$6:$B$45,MATCH($B109,'Credit Ledger'!$A$6:$A$45,0)),"** ID not found **"))</f>
        <v/>
      </c>
      <c r="D109" s="43"/>
      <c r="E109" s="44"/>
      <c r="F109" s="44"/>
    </row>
    <row r="110" customFormat="false" ht="15" hidden="false" customHeight="false" outlineLevel="0" collapsed="false">
      <c r="A110" s="40"/>
      <c r="B110" s="41"/>
      <c r="C110" s="42" t="str">
        <f aca="false">IF($B110="","",IFERROR(INDEX('Credit Ledger'!$B$6:$B$45,MATCH($B110,'Credit Ledger'!$A$6:$A$45,0)),"** ID not found **"))</f>
        <v/>
      </c>
      <c r="D110" s="43"/>
      <c r="E110" s="44"/>
      <c r="F110" s="44"/>
    </row>
    <row r="111" customFormat="false" ht="15" hidden="false" customHeight="false" outlineLevel="0" collapsed="false">
      <c r="A111" s="40"/>
      <c r="B111" s="41"/>
      <c r="C111" s="42" t="str">
        <f aca="false">IF($B111="","",IFERROR(INDEX('Credit Ledger'!$B$6:$B$45,MATCH($B111,'Credit Ledger'!$A$6:$A$45,0)),"** ID not found **"))</f>
        <v/>
      </c>
      <c r="D111" s="43"/>
      <c r="E111" s="44"/>
      <c r="F111" s="44"/>
    </row>
    <row r="112" customFormat="false" ht="15" hidden="false" customHeight="false" outlineLevel="0" collapsed="false">
      <c r="A112" s="40"/>
      <c r="B112" s="41"/>
      <c r="C112" s="42" t="str">
        <f aca="false">IF($B112="","",IFERROR(INDEX('Credit Ledger'!$B$6:$B$45,MATCH($B112,'Credit Ledger'!$A$6:$A$45,0)),"** ID not found **"))</f>
        <v/>
      </c>
      <c r="D112" s="43"/>
      <c r="E112" s="44"/>
      <c r="F112" s="44"/>
    </row>
    <row r="113" customFormat="false" ht="15" hidden="false" customHeight="false" outlineLevel="0" collapsed="false">
      <c r="A113" s="40"/>
      <c r="B113" s="41"/>
      <c r="C113" s="42" t="str">
        <f aca="false">IF($B113="","",IFERROR(INDEX('Credit Ledger'!$B$6:$B$45,MATCH($B113,'Credit Ledger'!$A$6:$A$45,0)),"** ID not found **"))</f>
        <v/>
      </c>
      <c r="D113" s="43"/>
      <c r="E113" s="44"/>
      <c r="F113" s="44"/>
    </row>
    <row r="114" customFormat="false" ht="15" hidden="false" customHeight="false" outlineLevel="0" collapsed="false">
      <c r="A114" s="40"/>
      <c r="B114" s="41"/>
      <c r="C114" s="42" t="str">
        <f aca="false">IF($B114="","",IFERROR(INDEX('Credit Ledger'!$B$6:$B$45,MATCH($B114,'Credit Ledger'!$A$6:$A$45,0)),"** ID not found **"))</f>
        <v/>
      </c>
      <c r="D114" s="43"/>
      <c r="E114" s="44"/>
      <c r="F114" s="44"/>
    </row>
    <row r="115" customFormat="false" ht="15" hidden="false" customHeight="false" outlineLevel="0" collapsed="false">
      <c r="A115" s="40"/>
      <c r="B115" s="41"/>
      <c r="C115" s="42" t="str">
        <f aca="false">IF($B115="","",IFERROR(INDEX('Credit Ledger'!$B$6:$B$45,MATCH($B115,'Credit Ledger'!$A$6:$A$45,0)),"** ID not found **"))</f>
        <v/>
      </c>
      <c r="D115" s="43"/>
      <c r="E115" s="44"/>
      <c r="F115" s="44"/>
    </row>
    <row r="116" customFormat="false" ht="15" hidden="false" customHeight="false" outlineLevel="0" collapsed="false">
      <c r="A116" s="40"/>
      <c r="B116" s="41"/>
      <c r="C116" s="42" t="str">
        <f aca="false">IF($B116="","",IFERROR(INDEX('Credit Ledger'!$B$6:$B$45,MATCH($B116,'Credit Ledger'!$A$6:$A$45,0)),"** ID not found **"))</f>
        <v/>
      </c>
      <c r="D116" s="43"/>
      <c r="E116" s="44"/>
      <c r="F116" s="44"/>
    </row>
    <row r="117" customFormat="false" ht="15" hidden="false" customHeight="false" outlineLevel="0" collapsed="false">
      <c r="A117" s="40"/>
      <c r="B117" s="41"/>
      <c r="C117" s="42" t="str">
        <f aca="false">IF($B117="","",IFERROR(INDEX('Credit Ledger'!$B$6:$B$45,MATCH($B117,'Credit Ledger'!$A$6:$A$45,0)),"** ID not found **"))</f>
        <v/>
      </c>
      <c r="D117" s="43"/>
      <c r="E117" s="44"/>
      <c r="F117" s="44"/>
    </row>
    <row r="118" customFormat="false" ht="15" hidden="false" customHeight="false" outlineLevel="0" collapsed="false">
      <c r="A118" s="40"/>
      <c r="B118" s="41"/>
      <c r="C118" s="42" t="str">
        <f aca="false">IF($B118="","",IFERROR(INDEX('Credit Ledger'!$B$6:$B$45,MATCH($B118,'Credit Ledger'!$A$6:$A$45,0)),"** ID not found **"))</f>
        <v/>
      </c>
      <c r="D118" s="43"/>
      <c r="E118" s="44"/>
      <c r="F118" s="44"/>
    </row>
    <row r="119" customFormat="false" ht="15" hidden="false" customHeight="false" outlineLevel="0" collapsed="false">
      <c r="A119" s="40"/>
      <c r="B119" s="41"/>
      <c r="C119" s="42" t="str">
        <f aca="false">IF($B119="","",IFERROR(INDEX('Credit Ledger'!$B$6:$B$45,MATCH($B119,'Credit Ledger'!$A$6:$A$45,0)),"** ID not found **"))</f>
        <v/>
      </c>
      <c r="D119" s="43"/>
      <c r="E119" s="44"/>
      <c r="F119" s="44"/>
    </row>
    <row r="120" customFormat="false" ht="15" hidden="false" customHeight="false" outlineLevel="0" collapsed="false">
      <c r="A120" s="40"/>
      <c r="B120" s="41"/>
      <c r="C120" s="42" t="str">
        <f aca="false">IF($B120="","",IFERROR(INDEX('Credit Ledger'!$B$6:$B$45,MATCH($B120,'Credit Ledger'!$A$6:$A$45,0)),"** ID not found **"))</f>
        <v/>
      </c>
      <c r="D120" s="43"/>
      <c r="E120" s="44"/>
      <c r="F120" s="44"/>
    </row>
    <row r="121" customFormat="false" ht="15" hidden="false" customHeight="false" outlineLevel="0" collapsed="false">
      <c r="A121" s="40"/>
      <c r="B121" s="41"/>
      <c r="C121" s="42" t="str">
        <f aca="false">IF($B121="","",IFERROR(INDEX('Credit Ledger'!$B$6:$B$45,MATCH($B121,'Credit Ledger'!$A$6:$A$45,0)),"** ID not found **"))</f>
        <v/>
      </c>
      <c r="D121" s="43"/>
      <c r="E121" s="44"/>
      <c r="F121" s="44"/>
    </row>
    <row r="122" customFormat="false" ht="15" hidden="false" customHeight="false" outlineLevel="0" collapsed="false">
      <c r="A122" s="40"/>
      <c r="B122" s="41"/>
      <c r="C122" s="42" t="str">
        <f aca="false">IF($B122="","",IFERROR(INDEX('Credit Ledger'!$B$6:$B$45,MATCH($B122,'Credit Ledger'!$A$6:$A$45,0)),"** ID not found **"))</f>
        <v/>
      </c>
      <c r="D122" s="43"/>
      <c r="E122" s="44"/>
      <c r="F122" s="44"/>
    </row>
    <row r="123" customFormat="false" ht="15" hidden="false" customHeight="false" outlineLevel="0" collapsed="false">
      <c r="A123" s="40"/>
      <c r="B123" s="41"/>
      <c r="C123" s="42" t="str">
        <f aca="false">IF($B123="","",IFERROR(INDEX('Credit Ledger'!$B$6:$B$45,MATCH($B123,'Credit Ledger'!$A$6:$A$45,0)),"** ID not found **"))</f>
        <v/>
      </c>
      <c r="D123" s="43"/>
      <c r="E123" s="44"/>
      <c r="F123" s="44"/>
    </row>
    <row r="124" customFormat="false" ht="15" hidden="false" customHeight="false" outlineLevel="0" collapsed="false">
      <c r="A124" s="40"/>
      <c r="B124" s="41"/>
      <c r="C124" s="42" t="str">
        <f aca="false">IF($B124="","",IFERROR(INDEX('Credit Ledger'!$B$6:$B$45,MATCH($B124,'Credit Ledger'!$A$6:$A$45,0)),"** ID not found **"))</f>
        <v/>
      </c>
      <c r="D124" s="43"/>
      <c r="E124" s="44"/>
      <c r="F124" s="44"/>
    </row>
    <row r="125" customFormat="false" ht="15" hidden="false" customHeight="false" outlineLevel="0" collapsed="false">
      <c r="A125" s="40"/>
      <c r="B125" s="41"/>
      <c r="C125" s="42" t="str">
        <f aca="false">IF($B125="","",IFERROR(INDEX('Credit Ledger'!$B$6:$B$45,MATCH($B125,'Credit Ledger'!$A$6:$A$45,0)),"** ID not found **"))</f>
        <v/>
      </c>
      <c r="D125" s="43"/>
      <c r="E125" s="44"/>
      <c r="F125" s="44"/>
    </row>
    <row r="126" customFormat="false" ht="15" hidden="false" customHeight="false" outlineLevel="0" collapsed="false">
      <c r="A126" s="40"/>
      <c r="B126" s="41"/>
      <c r="C126" s="42" t="str">
        <f aca="false">IF($B126="","",IFERROR(INDEX('Credit Ledger'!$B$6:$B$45,MATCH($B126,'Credit Ledger'!$A$6:$A$45,0)),"** ID not found **"))</f>
        <v/>
      </c>
      <c r="D126" s="43"/>
      <c r="E126" s="44"/>
      <c r="F126" s="44"/>
    </row>
    <row r="127" customFormat="false" ht="15" hidden="false" customHeight="false" outlineLevel="0" collapsed="false">
      <c r="A127" s="40"/>
      <c r="B127" s="41"/>
      <c r="C127" s="42" t="str">
        <f aca="false">IF($B127="","",IFERROR(INDEX('Credit Ledger'!$B$6:$B$45,MATCH($B127,'Credit Ledger'!$A$6:$A$45,0)),"** ID not found **"))</f>
        <v/>
      </c>
      <c r="D127" s="43"/>
      <c r="E127" s="44"/>
      <c r="F127" s="44"/>
    </row>
    <row r="128" customFormat="false" ht="15" hidden="false" customHeight="false" outlineLevel="0" collapsed="false">
      <c r="A128" s="40"/>
      <c r="B128" s="41"/>
      <c r="C128" s="42" t="str">
        <f aca="false">IF($B128="","",IFERROR(INDEX('Credit Ledger'!$B$6:$B$45,MATCH($B128,'Credit Ledger'!$A$6:$A$45,0)),"** ID not found **"))</f>
        <v/>
      </c>
      <c r="D128" s="43"/>
      <c r="E128" s="44"/>
      <c r="F128" s="44"/>
    </row>
    <row r="129" customFormat="false" ht="15" hidden="false" customHeight="false" outlineLevel="0" collapsed="false">
      <c r="A129" s="40"/>
      <c r="B129" s="41"/>
      <c r="C129" s="42" t="str">
        <f aca="false">IF($B129="","",IFERROR(INDEX('Credit Ledger'!$B$6:$B$45,MATCH($B129,'Credit Ledger'!$A$6:$A$45,0)),"** ID not found **"))</f>
        <v/>
      </c>
      <c r="D129" s="43"/>
      <c r="E129" s="44"/>
      <c r="F129" s="44"/>
    </row>
    <row r="130" customFormat="false" ht="15" hidden="false" customHeight="false" outlineLevel="0" collapsed="false">
      <c r="A130" s="40"/>
      <c r="B130" s="41"/>
      <c r="C130" s="42" t="str">
        <f aca="false">IF($B130="","",IFERROR(INDEX('Credit Ledger'!$B$6:$B$45,MATCH($B130,'Credit Ledger'!$A$6:$A$45,0)),"** ID not found **"))</f>
        <v/>
      </c>
      <c r="D130" s="43"/>
      <c r="E130" s="44"/>
      <c r="F130" s="44"/>
    </row>
    <row r="131" customFormat="false" ht="15" hidden="false" customHeight="false" outlineLevel="0" collapsed="false">
      <c r="A131" s="40"/>
      <c r="B131" s="41"/>
      <c r="C131" s="42" t="str">
        <f aca="false">IF($B131="","",IFERROR(INDEX('Credit Ledger'!$B$6:$B$45,MATCH($B131,'Credit Ledger'!$A$6:$A$45,0)),"** ID not found **"))</f>
        <v/>
      </c>
      <c r="D131" s="43"/>
      <c r="E131" s="44"/>
      <c r="F131" s="44"/>
    </row>
    <row r="132" customFormat="false" ht="15" hidden="false" customHeight="false" outlineLevel="0" collapsed="false">
      <c r="A132" s="40"/>
      <c r="B132" s="41"/>
      <c r="C132" s="42" t="str">
        <f aca="false">IF($B132="","",IFERROR(INDEX('Credit Ledger'!$B$6:$B$45,MATCH($B132,'Credit Ledger'!$A$6:$A$45,0)),"** ID not found **"))</f>
        <v/>
      </c>
      <c r="D132" s="43"/>
      <c r="E132" s="44"/>
      <c r="F132" s="44"/>
    </row>
    <row r="133" customFormat="false" ht="15" hidden="false" customHeight="false" outlineLevel="0" collapsed="false">
      <c r="A133" s="40"/>
      <c r="B133" s="41"/>
      <c r="C133" s="42" t="str">
        <f aca="false">IF($B133="","",IFERROR(INDEX('Credit Ledger'!$B$6:$B$45,MATCH($B133,'Credit Ledger'!$A$6:$A$45,0)),"** ID not found **"))</f>
        <v/>
      </c>
      <c r="D133" s="43"/>
      <c r="E133" s="44"/>
      <c r="F133" s="44"/>
    </row>
    <row r="134" customFormat="false" ht="15" hidden="false" customHeight="false" outlineLevel="0" collapsed="false">
      <c r="A134" s="40"/>
      <c r="B134" s="41"/>
      <c r="C134" s="42" t="str">
        <f aca="false">IF($B134="","",IFERROR(INDEX('Credit Ledger'!$B$6:$B$45,MATCH($B134,'Credit Ledger'!$A$6:$A$45,0)),"** ID not found **"))</f>
        <v/>
      </c>
      <c r="D134" s="43"/>
      <c r="E134" s="44"/>
      <c r="F134" s="44"/>
    </row>
    <row r="135" customFormat="false" ht="15" hidden="false" customHeight="false" outlineLevel="0" collapsed="false">
      <c r="A135" s="40"/>
      <c r="B135" s="41"/>
      <c r="C135" s="42" t="str">
        <f aca="false">IF($B135="","",IFERROR(INDEX('Credit Ledger'!$B$6:$B$45,MATCH($B135,'Credit Ledger'!$A$6:$A$45,0)),"** ID not found **"))</f>
        <v/>
      </c>
      <c r="D135" s="43"/>
      <c r="E135" s="44"/>
      <c r="F135" s="44"/>
    </row>
    <row r="136" customFormat="false" ht="15" hidden="false" customHeight="false" outlineLevel="0" collapsed="false">
      <c r="A136" s="40"/>
      <c r="B136" s="41"/>
      <c r="C136" s="42" t="str">
        <f aca="false">IF($B136="","",IFERROR(INDEX('Credit Ledger'!$B$6:$B$45,MATCH($B136,'Credit Ledger'!$A$6:$A$45,0)),"** ID not found **"))</f>
        <v/>
      </c>
      <c r="D136" s="43"/>
      <c r="E136" s="44"/>
      <c r="F136" s="44"/>
    </row>
    <row r="137" customFormat="false" ht="15" hidden="false" customHeight="false" outlineLevel="0" collapsed="false">
      <c r="A137" s="40"/>
      <c r="B137" s="41"/>
      <c r="C137" s="42" t="str">
        <f aca="false">IF($B137="","",IFERROR(INDEX('Credit Ledger'!$B$6:$B$45,MATCH($B137,'Credit Ledger'!$A$6:$A$45,0)),"** ID not found **"))</f>
        <v/>
      </c>
      <c r="D137" s="43"/>
      <c r="E137" s="44"/>
      <c r="F137" s="44"/>
    </row>
    <row r="138" customFormat="false" ht="15" hidden="false" customHeight="false" outlineLevel="0" collapsed="false">
      <c r="A138" s="40"/>
      <c r="B138" s="41"/>
      <c r="C138" s="42" t="str">
        <f aca="false">IF($B138="","",IFERROR(INDEX('Credit Ledger'!$B$6:$B$45,MATCH($B138,'Credit Ledger'!$A$6:$A$45,0)),"** ID not found **"))</f>
        <v/>
      </c>
      <c r="D138" s="43"/>
      <c r="E138" s="44"/>
      <c r="F138" s="44"/>
    </row>
    <row r="139" customFormat="false" ht="15" hidden="false" customHeight="false" outlineLevel="0" collapsed="false">
      <c r="A139" s="40"/>
      <c r="B139" s="41"/>
      <c r="C139" s="42" t="str">
        <f aca="false">IF($B139="","",IFERROR(INDEX('Credit Ledger'!$B$6:$B$45,MATCH($B139,'Credit Ledger'!$A$6:$A$45,0)),"** ID not found **"))</f>
        <v/>
      </c>
      <c r="D139" s="43"/>
      <c r="E139" s="44"/>
      <c r="F139" s="44"/>
    </row>
    <row r="140" customFormat="false" ht="15" hidden="false" customHeight="false" outlineLevel="0" collapsed="false">
      <c r="A140" s="40"/>
      <c r="B140" s="41"/>
      <c r="C140" s="42" t="str">
        <f aca="false">IF($B140="","",IFERROR(INDEX('Credit Ledger'!$B$6:$B$45,MATCH($B140,'Credit Ledger'!$A$6:$A$45,0)),"** ID not found **"))</f>
        <v/>
      </c>
      <c r="D140" s="43"/>
      <c r="E140" s="44"/>
      <c r="F140" s="44"/>
    </row>
    <row r="141" customFormat="false" ht="15" hidden="false" customHeight="false" outlineLevel="0" collapsed="false">
      <c r="A141" s="40"/>
      <c r="B141" s="41"/>
      <c r="C141" s="42" t="str">
        <f aca="false">IF($B141="","",IFERROR(INDEX('Credit Ledger'!$B$6:$B$45,MATCH($B141,'Credit Ledger'!$A$6:$A$45,0)),"** ID not found **"))</f>
        <v/>
      </c>
      <c r="D141" s="43"/>
      <c r="E141" s="44"/>
      <c r="F141" s="44"/>
    </row>
    <row r="142" customFormat="false" ht="15" hidden="false" customHeight="false" outlineLevel="0" collapsed="false">
      <c r="A142" s="40"/>
      <c r="B142" s="41"/>
      <c r="C142" s="42" t="str">
        <f aca="false">IF($B142="","",IFERROR(INDEX('Credit Ledger'!$B$6:$B$45,MATCH($B142,'Credit Ledger'!$A$6:$A$45,0)),"** ID not found **"))</f>
        <v/>
      </c>
      <c r="D142" s="43"/>
      <c r="E142" s="44"/>
      <c r="F142" s="44"/>
    </row>
    <row r="143" customFormat="false" ht="15" hidden="false" customHeight="false" outlineLevel="0" collapsed="false">
      <c r="A143" s="40"/>
      <c r="B143" s="41"/>
      <c r="C143" s="42" t="str">
        <f aca="false">IF($B143="","",IFERROR(INDEX('Credit Ledger'!$B$6:$B$45,MATCH($B143,'Credit Ledger'!$A$6:$A$45,0)),"** ID not found **"))</f>
        <v/>
      </c>
      <c r="D143" s="43"/>
      <c r="E143" s="44"/>
      <c r="F143" s="44"/>
    </row>
    <row r="144" customFormat="false" ht="15" hidden="false" customHeight="false" outlineLevel="0" collapsed="false">
      <c r="A144" s="40"/>
      <c r="B144" s="41"/>
      <c r="C144" s="42" t="str">
        <f aca="false">IF($B144="","",IFERROR(INDEX('Credit Ledger'!$B$6:$B$45,MATCH($B144,'Credit Ledger'!$A$6:$A$45,0)),"** ID not found **"))</f>
        <v/>
      </c>
      <c r="D144" s="43"/>
      <c r="E144" s="44"/>
      <c r="F144" s="44"/>
    </row>
    <row r="145" customFormat="false" ht="15" hidden="false" customHeight="false" outlineLevel="0" collapsed="false">
      <c r="A145" s="40"/>
      <c r="B145" s="41"/>
      <c r="C145" s="42" t="str">
        <f aca="false">IF($B145="","",IFERROR(INDEX('Credit Ledger'!$B$6:$B$45,MATCH($B145,'Credit Ledger'!$A$6:$A$45,0)),"** ID not found **"))</f>
        <v/>
      </c>
      <c r="D145" s="43"/>
      <c r="E145" s="44"/>
      <c r="F145" s="44"/>
    </row>
    <row r="146" customFormat="false" ht="15" hidden="false" customHeight="false" outlineLevel="0" collapsed="false">
      <c r="A146" s="40"/>
      <c r="B146" s="41"/>
      <c r="C146" s="42" t="str">
        <f aca="false">IF($B146="","",IFERROR(INDEX('Credit Ledger'!$B$6:$B$45,MATCH($B146,'Credit Ledger'!$A$6:$A$45,0)),"** ID not found **"))</f>
        <v/>
      </c>
      <c r="D146" s="43"/>
      <c r="E146" s="44"/>
      <c r="F146" s="44"/>
    </row>
    <row r="147" customFormat="false" ht="15" hidden="false" customHeight="false" outlineLevel="0" collapsed="false">
      <c r="A147" s="40"/>
      <c r="B147" s="41"/>
      <c r="C147" s="42" t="str">
        <f aca="false">IF($B147="","",IFERROR(INDEX('Credit Ledger'!$B$6:$B$45,MATCH($B147,'Credit Ledger'!$A$6:$A$45,0)),"** ID not found **"))</f>
        <v/>
      </c>
      <c r="D147" s="43"/>
      <c r="E147" s="44"/>
      <c r="F147" s="44"/>
    </row>
    <row r="148" customFormat="false" ht="15" hidden="false" customHeight="false" outlineLevel="0" collapsed="false">
      <c r="A148" s="40"/>
      <c r="B148" s="41"/>
      <c r="C148" s="42" t="str">
        <f aca="false">IF($B148="","",IFERROR(INDEX('Credit Ledger'!$B$6:$B$45,MATCH($B148,'Credit Ledger'!$A$6:$A$45,0)),"** ID not found **"))</f>
        <v/>
      </c>
      <c r="D148" s="43"/>
      <c r="E148" s="44"/>
      <c r="F148" s="44"/>
    </row>
    <row r="149" customFormat="false" ht="15" hidden="false" customHeight="false" outlineLevel="0" collapsed="false">
      <c r="A149" s="40"/>
      <c r="B149" s="41"/>
      <c r="C149" s="42" t="str">
        <f aca="false">IF($B149="","",IFERROR(INDEX('Credit Ledger'!$B$6:$B$45,MATCH($B149,'Credit Ledger'!$A$6:$A$45,0)),"** ID not found **"))</f>
        <v/>
      </c>
      <c r="D149" s="43"/>
      <c r="E149" s="44"/>
      <c r="F149" s="44"/>
    </row>
    <row r="150" customFormat="false" ht="15" hidden="false" customHeight="false" outlineLevel="0" collapsed="false">
      <c r="A150" s="40"/>
      <c r="B150" s="41"/>
      <c r="C150" s="42" t="str">
        <f aca="false">IF($B150="","",IFERROR(INDEX('Credit Ledger'!$B$6:$B$45,MATCH($B150,'Credit Ledger'!$A$6:$A$45,0)),"** ID not found **"))</f>
        <v/>
      </c>
      <c r="D150" s="43"/>
      <c r="E150" s="44"/>
      <c r="F150" s="44"/>
    </row>
    <row r="151" customFormat="false" ht="15" hidden="false" customHeight="false" outlineLevel="0" collapsed="false">
      <c r="A151" s="40"/>
      <c r="B151" s="41"/>
      <c r="C151" s="42" t="str">
        <f aca="false">IF($B151="","",IFERROR(INDEX('Credit Ledger'!$B$6:$B$45,MATCH($B151,'Credit Ledger'!$A$6:$A$45,0)),"** ID not found **"))</f>
        <v/>
      </c>
      <c r="D151" s="43"/>
      <c r="E151" s="44"/>
      <c r="F151" s="44"/>
    </row>
    <row r="152" customFormat="false" ht="15" hidden="false" customHeight="false" outlineLevel="0" collapsed="false">
      <c r="A152" s="40"/>
      <c r="B152" s="41"/>
      <c r="C152" s="42" t="str">
        <f aca="false">IF($B152="","",IFERROR(INDEX('Credit Ledger'!$B$6:$B$45,MATCH($B152,'Credit Ledger'!$A$6:$A$45,0)),"** ID not found **"))</f>
        <v/>
      </c>
      <c r="D152" s="43"/>
      <c r="E152" s="44"/>
      <c r="F152" s="44"/>
    </row>
    <row r="153" customFormat="false" ht="15" hidden="false" customHeight="false" outlineLevel="0" collapsed="false">
      <c r="A153" s="40"/>
      <c r="B153" s="41"/>
      <c r="C153" s="42" t="str">
        <f aca="false">IF($B153="","",IFERROR(INDEX('Credit Ledger'!$B$6:$B$45,MATCH($B153,'Credit Ledger'!$A$6:$A$45,0)),"** ID not found **"))</f>
        <v/>
      </c>
      <c r="D153" s="43"/>
      <c r="E153" s="44"/>
      <c r="F153" s="44"/>
    </row>
    <row r="154" customFormat="false" ht="15" hidden="false" customHeight="false" outlineLevel="0" collapsed="false">
      <c r="A154" s="40"/>
      <c r="B154" s="41"/>
      <c r="C154" s="42" t="str">
        <f aca="false">IF($B154="","",IFERROR(INDEX('Credit Ledger'!$B$6:$B$45,MATCH($B154,'Credit Ledger'!$A$6:$A$45,0)),"** ID not found **"))</f>
        <v/>
      </c>
      <c r="D154" s="43"/>
      <c r="E154" s="44"/>
      <c r="F154" s="44"/>
    </row>
    <row r="155" customFormat="false" ht="15" hidden="false" customHeight="false" outlineLevel="0" collapsed="false">
      <c r="A155" s="40"/>
      <c r="B155" s="41"/>
      <c r="C155" s="42" t="str">
        <f aca="false">IF($B155="","",IFERROR(INDEX('Credit Ledger'!$B$6:$B$45,MATCH($B155,'Credit Ledger'!$A$6:$A$45,0)),"** ID not found **"))</f>
        <v/>
      </c>
      <c r="D155" s="43"/>
      <c r="E155" s="44"/>
      <c r="F155" s="44"/>
    </row>
    <row r="156" customFormat="false" ht="15" hidden="false" customHeight="false" outlineLevel="0" collapsed="false">
      <c r="A156" s="40"/>
      <c r="B156" s="41"/>
      <c r="C156" s="42" t="str">
        <f aca="false">IF($B156="","",IFERROR(INDEX('Credit Ledger'!$B$6:$B$45,MATCH($B156,'Credit Ledger'!$A$6:$A$45,0)),"** ID not found **"))</f>
        <v/>
      </c>
      <c r="D156" s="43"/>
      <c r="E156" s="44"/>
      <c r="F156" s="44"/>
    </row>
    <row r="157" customFormat="false" ht="15" hidden="false" customHeight="false" outlineLevel="0" collapsed="false">
      <c r="A157" s="40"/>
      <c r="B157" s="41"/>
      <c r="C157" s="42" t="str">
        <f aca="false">IF($B157="","",IFERROR(INDEX('Credit Ledger'!$B$6:$B$45,MATCH($B157,'Credit Ledger'!$A$6:$A$45,0)),"** ID not found **"))</f>
        <v/>
      </c>
      <c r="D157" s="43"/>
      <c r="E157" s="44"/>
      <c r="F157" s="44"/>
    </row>
    <row r="158" customFormat="false" ht="15" hidden="false" customHeight="false" outlineLevel="0" collapsed="false">
      <c r="A158" s="40"/>
      <c r="B158" s="41"/>
      <c r="C158" s="42" t="str">
        <f aca="false">IF($B158="","",IFERROR(INDEX('Credit Ledger'!$B$6:$B$45,MATCH($B158,'Credit Ledger'!$A$6:$A$45,0)),"** ID not found **"))</f>
        <v/>
      </c>
      <c r="D158" s="43"/>
      <c r="E158" s="44"/>
      <c r="F158" s="44"/>
    </row>
    <row r="159" customFormat="false" ht="15" hidden="false" customHeight="false" outlineLevel="0" collapsed="false">
      <c r="A159" s="40"/>
      <c r="B159" s="41"/>
      <c r="C159" s="42" t="str">
        <f aca="false">IF($B159="","",IFERROR(INDEX('Credit Ledger'!$B$6:$B$45,MATCH($B159,'Credit Ledger'!$A$6:$A$45,0)),"** ID not found **"))</f>
        <v/>
      </c>
      <c r="D159" s="43"/>
      <c r="E159" s="44"/>
      <c r="F159" s="44"/>
    </row>
    <row r="160" customFormat="false" ht="15" hidden="false" customHeight="false" outlineLevel="0" collapsed="false">
      <c r="A160" s="40"/>
      <c r="B160" s="41"/>
      <c r="C160" s="42" t="str">
        <f aca="false">IF($B160="","",IFERROR(INDEX('Credit Ledger'!$B$6:$B$45,MATCH($B160,'Credit Ledger'!$A$6:$A$45,0)),"** ID not found **"))</f>
        <v/>
      </c>
      <c r="D160" s="43"/>
      <c r="E160" s="44"/>
      <c r="F160" s="44"/>
    </row>
    <row r="161" customFormat="false" ht="15" hidden="false" customHeight="false" outlineLevel="0" collapsed="false">
      <c r="A161" s="40"/>
      <c r="B161" s="41"/>
      <c r="C161" s="42" t="str">
        <f aca="false">IF($B161="","",IFERROR(INDEX('Credit Ledger'!$B$6:$B$45,MATCH($B161,'Credit Ledger'!$A$6:$A$45,0)),"** ID not found **"))</f>
        <v/>
      </c>
      <c r="D161" s="43"/>
      <c r="E161" s="44"/>
      <c r="F161" s="44"/>
    </row>
    <row r="162" customFormat="false" ht="15" hidden="false" customHeight="false" outlineLevel="0" collapsed="false">
      <c r="A162" s="40"/>
      <c r="B162" s="41"/>
      <c r="C162" s="42" t="str">
        <f aca="false">IF($B162="","",IFERROR(INDEX('Credit Ledger'!$B$6:$B$45,MATCH($B162,'Credit Ledger'!$A$6:$A$45,0)),"** ID not found **"))</f>
        <v/>
      </c>
      <c r="D162" s="43"/>
      <c r="E162" s="44"/>
      <c r="F162" s="44"/>
    </row>
    <row r="163" customFormat="false" ht="15" hidden="false" customHeight="false" outlineLevel="0" collapsed="false">
      <c r="A163" s="40"/>
      <c r="B163" s="41"/>
      <c r="C163" s="42" t="str">
        <f aca="false">IF($B163="","",IFERROR(INDEX('Credit Ledger'!$B$6:$B$45,MATCH($B163,'Credit Ledger'!$A$6:$A$45,0)),"** ID not found **"))</f>
        <v/>
      </c>
      <c r="D163" s="43"/>
      <c r="E163" s="44"/>
      <c r="F163" s="44"/>
    </row>
    <row r="164" customFormat="false" ht="15" hidden="false" customHeight="false" outlineLevel="0" collapsed="false">
      <c r="A164" s="40"/>
      <c r="B164" s="41"/>
      <c r="C164" s="42" t="str">
        <f aca="false">IF($B164="","",IFERROR(INDEX('Credit Ledger'!$B$6:$B$45,MATCH($B164,'Credit Ledger'!$A$6:$A$45,0)),"** ID not found **"))</f>
        <v/>
      </c>
      <c r="D164" s="43"/>
      <c r="E164" s="44"/>
      <c r="F164" s="44"/>
    </row>
    <row r="165" customFormat="false" ht="15" hidden="false" customHeight="false" outlineLevel="0" collapsed="false">
      <c r="A165" s="40"/>
      <c r="B165" s="41"/>
      <c r="C165" s="42" t="str">
        <f aca="false">IF($B165="","",IFERROR(INDEX('Credit Ledger'!$B$6:$B$45,MATCH($B165,'Credit Ledger'!$A$6:$A$45,0)),"** ID not found **"))</f>
        <v/>
      </c>
      <c r="D165" s="43"/>
      <c r="E165" s="44"/>
      <c r="F165" s="44"/>
    </row>
    <row r="166" customFormat="false" ht="15" hidden="false" customHeight="false" outlineLevel="0" collapsed="false">
      <c r="A166" s="40"/>
      <c r="B166" s="41"/>
      <c r="C166" s="42" t="str">
        <f aca="false">IF($B166="","",IFERROR(INDEX('Credit Ledger'!$B$6:$B$45,MATCH($B166,'Credit Ledger'!$A$6:$A$45,0)),"** ID not found **"))</f>
        <v/>
      </c>
      <c r="D166" s="43"/>
      <c r="E166" s="44"/>
      <c r="F166" s="44"/>
    </row>
    <row r="167" customFormat="false" ht="15" hidden="false" customHeight="false" outlineLevel="0" collapsed="false">
      <c r="A167" s="40"/>
      <c r="B167" s="41"/>
      <c r="C167" s="42" t="str">
        <f aca="false">IF($B167="","",IFERROR(INDEX('Credit Ledger'!$B$6:$B$45,MATCH($B167,'Credit Ledger'!$A$6:$A$45,0)),"** ID not found **"))</f>
        <v/>
      </c>
      <c r="D167" s="43"/>
      <c r="E167" s="44"/>
      <c r="F167" s="44"/>
    </row>
    <row r="168" customFormat="false" ht="15" hidden="false" customHeight="false" outlineLevel="0" collapsed="false">
      <c r="A168" s="40"/>
      <c r="B168" s="41"/>
      <c r="C168" s="42" t="str">
        <f aca="false">IF($B168="","",IFERROR(INDEX('Credit Ledger'!$B$6:$B$45,MATCH($B168,'Credit Ledger'!$A$6:$A$45,0)),"** ID not found **"))</f>
        <v/>
      </c>
      <c r="D168" s="43"/>
      <c r="E168" s="44"/>
      <c r="F168" s="44"/>
    </row>
    <row r="169" customFormat="false" ht="15" hidden="false" customHeight="false" outlineLevel="0" collapsed="false">
      <c r="A169" s="40"/>
      <c r="B169" s="41"/>
      <c r="C169" s="42" t="str">
        <f aca="false">IF($B169="","",IFERROR(INDEX('Credit Ledger'!$B$6:$B$45,MATCH($B169,'Credit Ledger'!$A$6:$A$45,0)),"** ID not found **"))</f>
        <v/>
      </c>
      <c r="D169" s="43"/>
      <c r="E169" s="44"/>
      <c r="F169" s="44"/>
    </row>
    <row r="170" customFormat="false" ht="15" hidden="false" customHeight="false" outlineLevel="0" collapsed="false">
      <c r="A170" s="40"/>
      <c r="B170" s="41"/>
      <c r="C170" s="42" t="str">
        <f aca="false">IF($B170="","",IFERROR(INDEX('Credit Ledger'!$B$6:$B$45,MATCH($B170,'Credit Ledger'!$A$6:$A$45,0)),"** ID not found **"))</f>
        <v/>
      </c>
      <c r="D170" s="43"/>
      <c r="E170" s="44"/>
      <c r="F170" s="44"/>
    </row>
    <row r="171" customFormat="false" ht="15" hidden="false" customHeight="false" outlineLevel="0" collapsed="false">
      <c r="A171" s="40"/>
      <c r="B171" s="41"/>
      <c r="C171" s="42" t="str">
        <f aca="false">IF($B171="","",IFERROR(INDEX('Credit Ledger'!$B$6:$B$45,MATCH($B171,'Credit Ledger'!$A$6:$A$45,0)),"** ID not found **"))</f>
        <v/>
      </c>
      <c r="D171" s="43"/>
      <c r="E171" s="44"/>
      <c r="F171" s="44"/>
    </row>
    <row r="172" customFormat="false" ht="15" hidden="false" customHeight="false" outlineLevel="0" collapsed="false">
      <c r="A172" s="40"/>
      <c r="B172" s="41"/>
      <c r="C172" s="42" t="str">
        <f aca="false">IF($B172="","",IFERROR(INDEX('Credit Ledger'!$B$6:$B$45,MATCH($B172,'Credit Ledger'!$A$6:$A$45,0)),"** ID not found **"))</f>
        <v/>
      </c>
      <c r="D172" s="43"/>
      <c r="E172" s="44"/>
      <c r="F172" s="44"/>
    </row>
    <row r="173" customFormat="false" ht="15" hidden="false" customHeight="false" outlineLevel="0" collapsed="false">
      <c r="A173" s="40"/>
      <c r="B173" s="41"/>
      <c r="C173" s="42" t="str">
        <f aca="false">IF($B173="","",IFERROR(INDEX('Credit Ledger'!$B$6:$B$45,MATCH($B173,'Credit Ledger'!$A$6:$A$45,0)),"** ID not found **"))</f>
        <v/>
      </c>
      <c r="D173" s="43"/>
      <c r="E173" s="44"/>
      <c r="F173" s="44"/>
    </row>
    <row r="174" customFormat="false" ht="15" hidden="false" customHeight="false" outlineLevel="0" collapsed="false">
      <c r="A174" s="40"/>
      <c r="B174" s="41"/>
      <c r="C174" s="42" t="str">
        <f aca="false">IF($B174="","",IFERROR(INDEX('Credit Ledger'!$B$6:$B$45,MATCH($B174,'Credit Ledger'!$A$6:$A$45,0)),"** ID not found **"))</f>
        <v/>
      </c>
      <c r="D174" s="43"/>
      <c r="E174" s="44"/>
      <c r="F174" s="44"/>
    </row>
    <row r="175" customFormat="false" ht="15" hidden="false" customHeight="false" outlineLevel="0" collapsed="false">
      <c r="A175" s="40"/>
      <c r="B175" s="41"/>
      <c r="C175" s="42" t="str">
        <f aca="false">IF($B175="","",IFERROR(INDEX('Credit Ledger'!$B$6:$B$45,MATCH($B175,'Credit Ledger'!$A$6:$A$45,0)),"** ID not found **"))</f>
        <v/>
      </c>
      <c r="D175" s="43"/>
      <c r="E175" s="44"/>
      <c r="F175" s="44"/>
    </row>
    <row r="176" customFormat="false" ht="15" hidden="false" customHeight="false" outlineLevel="0" collapsed="false">
      <c r="A176" s="40"/>
      <c r="B176" s="41"/>
      <c r="C176" s="42" t="str">
        <f aca="false">IF($B176="","",IFERROR(INDEX('Credit Ledger'!$B$6:$B$45,MATCH($B176,'Credit Ledger'!$A$6:$A$45,0)),"** ID not found **"))</f>
        <v/>
      </c>
      <c r="D176" s="43"/>
      <c r="E176" s="44"/>
      <c r="F176" s="44"/>
    </row>
    <row r="177" customFormat="false" ht="15" hidden="false" customHeight="false" outlineLevel="0" collapsed="false">
      <c r="A177" s="40"/>
      <c r="B177" s="41"/>
      <c r="C177" s="42" t="str">
        <f aca="false">IF($B177="","",IFERROR(INDEX('Credit Ledger'!$B$6:$B$45,MATCH($B177,'Credit Ledger'!$A$6:$A$45,0)),"** ID not found **"))</f>
        <v/>
      </c>
      <c r="D177" s="43"/>
      <c r="E177" s="44"/>
      <c r="F177" s="44"/>
    </row>
    <row r="178" customFormat="false" ht="15" hidden="false" customHeight="false" outlineLevel="0" collapsed="false">
      <c r="A178" s="40"/>
      <c r="B178" s="41"/>
      <c r="C178" s="42" t="str">
        <f aca="false">IF($B178="","",IFERROR(INDEX('Credit Ledger'!$B$6:$B$45,MATCH($B178,'Credit Ledger'!$A$6:$A$45,0)),"** ID not found **"))</f>
        <v/>
      </c>
      <c r="D178" s="43"/>
      <c r="E178" s="44"/>
      <c r="F178" s="44"/>
    </row>
    <row r="179" customFormat="false" ht="15" hidden="false" customHeight="false" outlineLevel="0" collapsed="false">
      <c r="A179" s="40"/>
      <c r="B179" s="41"/>
      <c r="C179" s="42" t="str">
        <f aca="false">IF($B179="","",IFERROR(INDEX('Credit Ledger'!$B$6:$B$45,MATCH($B179,'Credit Ledger'!$A$6:$A$45,0)),"** ID not found **"))</f>
        <v/>
      </c>
      <c r="D179" s="43"/>
      <c r="E179" s="44"/>
      <c r="F179" s="44"/>
    </row>
    <row r="180" customFormat="false" ht="15" hidden="false" customHeight="false" outlineLevel="0" collapsed="false">
      <c r="A180" s="40"/>
      <c r="B180" s="41"/>
      <c r="C180" s="42" t="str">
        <f aca="false">IF($B180="","",IFERROR(INDEX('Credit Ledger'!$B$6:$B$45,MATCH($B180,'Credit Ledger'!$A$6:$A$45,0)),"** ID not found **"))</f>
        <v/>
      </c>
      <c r="D180" s="43"/>
      <c r="E180" s="44"/>
      <c r="F180" s="44"/>
    </row>
    <row r="181" customFormat="false" ht="15" hidden="false" customHeight="false" outlineLevel="0" collapsed="false">
      <c r="A181" s="40"/>
      <c r="B181" s="41"/>
      <c r="C181" s="42" t="str">
        <f aca="false">IF($B181="","",IFERROR(INDEX('Credit Ledger'!$B$6:$B$45,MATCH($B181,'Credit Ledger'!$A$6:$A$45,0)),"** ID not found **"))</f>
        <v/>
      </c>
      <c r="D181" s="43"/>
      <c r="E181" s="44"/>
      <c r="F181" s="44"/>
    </row>
    <row r="182" customFormat="false" ht="15" hidden="false" customHeight="false" outlineLevel="0" collapsed="false">
      <c r="A182" s="40"/>
      <c r="B182" s="41"/>
      <c r="C182" s="42" t="str">
        <f aca="false">IF($B182="","",IFERROR(INDEX('Credit Ledger'!$B$6:$B$45,MATCH($B182,'Credit Ledger'!$A$6:$A$45,0)),"** ID not found **"))</f>
        <v/>
      </c>
      <c r="D182" s="43"/>
      <c r="E182" s="44"/>
      <c r="F182" s="44"/>
    </row>
    <row r="183" customFormat="false" ht="15" hidden="false" customHeight="false" outlineLevel="0" collapsed="false">
      <c r="A183" s="40"/>
      <c r="B183" s="41"/>
      <c r="C183" s="42" t="str">
        <f aca="false">IF($B183="","",IFERROR(INDEX('Credit Ledger'!$B$6:$B$45,MATCH($B183,'Credit Ledger'!$A$6:$A$45,0)),"** ID not found **"))</f>
        <v/>
      </c>
      <c r="D183" s="43"/>
      <c r="E183" s="44"/>
      <c r="F183" s="44"/>
    </row>
    <row r="184" customFormat="false" ht="15" hidden="false" customHeight="false" outlineLevel="0" collapsed="false">
      <c r="A184" s="40"/>
      <c r="B184" s="41"/>
      <c r="C184" s="42" t="str">
        <f aca="false">IF($B184="","",IFERROR(INDEX('Credit Ledger'!$B$6:$B$45,MATCH($B184,'Credit Ledger'!$A$6:$A$45,0)),"** ID not found **"))</f>
        <v/>
      </c>
      <c r="D184" s="43"/>
      <c r="E184" s="44"/>
      <c r="F184" s="44"/>
    </row>
    <row r="185" customFormat="false" ht="15" hidden="false" customHeight="false" outlineLevel="0" collapsed="false">
      <c r="A185" s="40"/>
      <c r="B185" s="41"/>
      <c r="C185" s="42" t="str">
        <f aca="false">IF($B185="","",IFERROR(INDEX('Credit Ledger'!$B$6:$B$45,MATCH($B185,'Credit Ledger'!$A$6:$A$45,0)),"** ID not found **"))</f>
        <v/>
      </c>
      <c r="D185" s="43"/>
      <c r="E185" s="44"/>
      <c r="F185" s="44"/>
    </row>
    <row r="186" customFormat="false" ht="15" hidden="false" customHeight="false" outlineLevel="0" collapsed="false">
      <c r="A186" s="40"/>
      <c r="B186" s="41"/>
      <c r="C186" s="42" t="str">
        <f aca="false">IF($B186="","",IFERROR(INDEX('Credit Ledger'!$B$6:$B$45,MATCH($B186,'Credit Ledger'!$A$6:$A$45,0)),"** ID not found **"))</f>
        <v/>
      </c>
      <c r="D186" s="43"/>
      <c r="E186" s="44"/>
      <c r="F186" s="44"/>
    </row>
    <row r="187" customFormat="false" ht="15" hidden="false" customHeight="false" outlineLevel="0" collapsed="false">
      <c r="A187" s="40"/>
      <c r="B187" s="41"/>
      <c r="C187" s="42" t="str">
        <f aca="false">IF($B187="","",IFERROR(INDEX('Credit Ledger'!$B$6:$B$45,MATCH($B187,'Credit Ledger'!$A$6:$A$45,0)),"** ID not found **"))</f>
        <v/>
      </c>
      <c r="D187" s="43"/>
      <c r="E187" s="44"/>
      <c r="F187" s="44"/>
    </row>
    <row r="188" customFormat="false" ht="15" hidden="false" customHeight="false" outlineLevel="0" collapsed="false">
      <c r="A188" s="40"/>
      <c r="B188" s="41"/>
      <c r="C188" s="42" t="str">
        <f aca="false">IF($B188="","",IFERROR(INDEX('Credit Ledger'!$B$6:$B$45,MATCH($B188,'Credit Ledger'!$A$6:$A$45,0)),"** ID not found **"))</f>
        <v/>
      </c>
      <c r="D188" s="43"/>
      <c r="E188" s="44"/>
      <c r="F188" s="44"/>
    </row>
    <row r="189" customFormat="false" ht="15" hidden="false" customHeight="false" outlineLevel="0" collapsed="false">
      <c r="A189" s="40"/>
      <c r="B189" s="41"/>
      <c r="C189" s="42" t="str">
        <f aca="false">IF($B189="","",IFERROR(INDEX('Credit Ledger'!$B$6:$B$45,MATCH($B189,'Credit Ledger'!$A$6:$A$45,0)),"** ID not found **"))</f>
        <v/>
      </c>
      <c r="D189" s="43"/>
      <c r="E189" s="44"/>
      <c r="F189" s="44"/>
    </row>
    <row r="190" customFormat="false" ht="15" hidden="false" customHeight="false" outlineLevel="0" collapsed="false">
      <c r="A190" s="40"/>
      <c r="B190" s="41"/>
      <c r="C190" s="42" t="str">
        <f aca="false">IF($B190="","",IFERROR(INDEX('Credit Ledger'!$B$6:$B$45,MATCH($B190,'Credit Ledger'!$A$6:$A$45,0)),"** ID not found **"))</f>
        <v/>
      </c>
      <c r="D190" s="43"/>
      <c r="E190" s="44"/>
      <c r="F190" s="44"/>
    </row>
    <row r="191" customFormat="false" ht="15" hidden="false" customHeight="false" outlineLevel="0" collapsed="false">
      <c r="A191" s="40"/>
      <c r="B191" s="41"/>
      <c r="C191" s="42" t="str">
        <f aca="false">IF($B191="","",IFERROR(INDEX('Credit Ledger'!$B$6:$B$45,MATCH($B191,'Credit Ledger'!$A$6:$A$45,0)),"** ID not found **"))</f>
        <v/>
      </c>
      <c r="D191" s="43"/>
      <c r="E191" s="44"/>
      <c r="F191" s="44"/>
    </row>
    <row r="192" customFormat="false" ht="15" hidden="false" customHeight="false" outlineLevel="0" collapsed="false">
      <c r="A192" s="40"/>
      <c r="B192" s="41"/>
      <c r="C192" s="42" t="str">
        <f aca="false">IF($B192="","",IFERROR(INDEX('Credit Ledger'!$B$6:$B$45,MATCH($B192,'Credit Ledger'!$A$6:$A$45,0)),"** ID not found **"))</f>
        <v/>
      </c>
      <c r="D192" s="43"/>
      <c r="E192" s="44"/>
      <c r="F192" s="44"/>
    </row>
    <row r="193" customFormat="false" ht="15" hidden="false" customHeight="false" outlineLevel="0" collapsed="false">
      <c r="A193" s="40"/>
      <c r="B193" s="41"/>
      <c r="C193" s="42" t="str">
        <f aca="false">IF($B193="","",IFERROR(INDEX('Credit Ledger'!$B$6:$B$45,MATCH($B193,'Credit Ledger'!$A$6:$A$45,0)),"** ID not found **"))</f>
        <v/>
      </c>
      <c r="D193" s="43"/>
      <c r="E193" s="44"/>
      <c r="F193" s="44"/>
    </row>
    <row r="194" customFormat="false" ht="15" hidden="false" customHeight="false" outlineLevel="0" collapsed="false">
      <c r="A194" s="40"/>
      <c r="B194" s="41"/>
      <c r="C194" s="42" t="str">
        <f aca="false">IF($B194="","",IFERROR(INDEX('Credit Ledger'!$B$6:$B$45,MATCH($B194,'Credit Ledger'!$A$6:$A$45,0)),"** ID not found **"))</f>
        <v/>
      </c>
      <c r="D194" s="43"/>
      <c r="E194" s="44"/>
      <c r="F194" s="44"/>
    </row>
    <row r="195" customFormat="false" ht="15" hidden="false" customHeight="false" outlineLevel="0" collapsed="false">
      <c r="A195" s="40"/>
      <c r="B195" s="41"/>
      <c r="C195" s="42" t="str">
        <f aca="false">IF($B195="","",IFERROR(INDEX('Credit Ledger'!$B$6:$B$45,MATCH($B195,'Credit Ledger'!$A$6:$A$45,0)),"** ID not found **"))</f>
        <v/>
      </c>
      <c r="D195" s="43"/>
      <c r="E195" s="44"/>
      <c r="F195" s="44"/>
    </row>
    <row r="196" customFormat="false" ht="15" hidden="false" customHeight="false" outlineLevel="0" collapsed="false">
      <c r="A196" s="40"/>
      <c r="B196" s="41"/>
      <c r="C196" s="42" t="str">
        <f aca="false">IF($B196="","",IFERROR(INDEX('Credit Ledger'!$B$6:$B$45,MATCH($B196,'Credit Ledger'!$A$6:$A$45,0)),"** ID not found **"))</f>
        <v/>
      </c>
      <c r="D196" s="43"/>
      <c r="E196" s="44"/>
      <c r="F196" s="44"/>
    </row>
    <row r="197" customFormat="false" ht="15" hidden="false" customHeight="false" outlineLevel="0" collapsed="false">
      <c r="A197" s="40"/>
      <c r="B197" s="41"/>
      <c r="C197" s="42" t="str">
        <f aca="false">IF($B197="","",IFERROR(INDEX('Credit Ledger'!$B$6:$B$45,MATCH($B197,'Credit Ledger'!$A$6:$A$45,0)),"** ID not found **"))</f>
        <v/>
      </c>
      <c r="D197" s="43"/>
      <c r="E197" s="44"/>
      <c r="F197" s="44"/>
    </row>
    <row r="198" customFormat="false" ht="15" hidden="false" customHeight="false" outlineLevel="0" collapsed="false">
      <c r="A198" s="40"/>
      <c r="B198" s="41"/>
      <c r="C198" s="42" t="str">
        <f aca="false">IF($B198="","",IFERROR(INDEX('Credit Ledger'!$B$6:$B$45,MATCH($B198,'Credit Ledger'!$A$6:$A$45,0)),"** ID not found **"))</f>
        <v/>
      </c>
      <c r="D198" s="43"/>
      <c r="E198" s="44"/>
      <c r="F198" s="44"/>
    </row>
    <row r="199" customFormat="false" ht="15" hidden="false" customHeight="false" outlineLevel="0" collapsed="false">
      <c r="A199" s="40"/>
      <c r="B199" s="41"/>
      <c r="C199" s="42" t="str">
        <f aca="false">IF($B199="","",IFERROR(INDEX('Credit Ledger'!$B$6:$B$45,MATCH($B199,'Credit Ledger'!$A$6:$A$45,0)),"** ID not found **"))</f>
        <v/>
      </c>
      <c r="D199" s="43"/>
      <c r="E199" s="44"/>
      <c r="F199" s="44"/>
    </row>
    <row r="200" customFormat="false" ht="15" hidden="false" customHeight="false" outlineLevel="0" collapsed="false">
      <c r="A200" s="40"/>
      <c r="B200" s="41"/>
      <c r="C200" s="42" t="str">
        <f aca="false">IF($B200="","",IFERROR(INDEX('Credit Ledger'!$B$6:$B$45,MATCH($B200,'Credit Ledger'!$A$6:$A$45,0)),"** ID not found **"))</f>
        <v/>
      </c>
      <c r="D200" s="43"/>
      <c r="E200" s="44"/>
      <c r="F200" s="44"/>
    </row>
    <row r="201" customFormat="false" ht="15" hidden="false" customHeight="false" outlineLevel="0" collapsed="false">
      <c r="A201" s="40"/>
      <c r="B201" s="41"/>
      <c r="C201" s="42" t="str">
        <f aca="false">IF($B201="","",IFERROR(INDEX('Credit Ledger'!$B$6:$B$45,MATCH($B201,'Credit Ledger'!$A$6:$A$45,0)),"** ID not found **"))</f>
        <v/>
      </c>
      <c r="D201" s="43"/>
      <c r="E201" s="44"/>
      <c r="F201" s="44"/>
    </row>
    <row r="202" customFormat="false" ht="15" hidden="false" customHeight="false" outlineLevel="0" collapsed="false">
      <c r="A202" s="40"/>
      <c r="B202" s="41"/>
      <c r="C202" s="42" t="str">
        <f aca="false">IF($B202="","",IFERROR(INDEX('Credit Ledger'!$B$6:$B$45,MATCH($B202,'Credit Ledger'!$A$6:$A$45,0)),"** ID not found **"))</f>
        <v/>
      </c>
      <c r="D202" s="43"/>
      <c r="E202" s="44"/>
      <c r="F202" s="44"/>
    </row>
    <row r="203" customFormat="false" ht="15" hidden="false" customHeight="false" outlineLevel="0" collapsed="false">
      <c r="A203" s="40"/>
      <c r="B203" s="41"/>
      <c r="C203" s="42" t="str">
        <f aca="false">IF($B203="","",IFERROR(INDEX('Credit Ledger'!$B$6:$B$45,MATCH($B203,'Credit Ledger'!$A$6:$A$45,0)),"** ID not found **"))</f>
        <v/>
      </c>
      <c r="D203" s="43"/>
      <c r="E203" s="44"/>
      <c r="F203" s="44"/>
    </row>
    <row r="204" customFormat="false" ht="15" hidden="false" customHeight="false" outlineLevel="0" collapsed="false">
      <c r="A204" s="40"/>
      <c r="B204" s="41"/>
      <c r="C204" s="42" t="str">
        <f aca="false">IF($B204="","",IFERROR(INDEX('Credit Ledger'!$B$6:$B$45,MATCH($B204,'Credit Ledger'!$A$6:$A$45,0)),"** ID not found **"))</f>
        <v/>
      </c>
      <c r="D204" s="43"/>
      <c r="E204" s="44"/>
      <c r="F204" s="44"/>
    </row>
    <row r="205" customFormat="false" ht="15" hidden="false" customHeight="false" outlineLevel="0" collapsed="false">
      <c r="A205" s="40"/>
      <c r="B205" s="41"/>
      <c r="C205" s="42" t="str">
        <f aca="false">IF($B205="","",IFERROR(INDEX('Credit Ledger'!$B$6:$B$45,MATCH($B205,'Credit Ledger'!$A$6:$A$45,0)),"** ID not found **"))</f>
        <v/>
      </c>
      <c r="D205" s="43"/>
      <c r="E205" s="44"/>
      <c r="F205" s="44"/>
    </row>
    <row r="206" customFormat="false" ht="15" hidden="false" customHeight="false" outlineLevel="0" collapsed="false">
      <c r="A206" s="40"/>
      <c r="B206" s="41"/>
      <c r="C206" s="42" t="str">
        <f aca="false">IF($B206="","",IFERROR(INDEX('Credit Ledger'!$B$6:$B$45,MATCH($B206,'Credit Ledger'!$A$6:$A$45,0)),"** ID not found **"))</f>
        <v/>
      </c>
      <c r="D206" s="43"/>
      <c r="E206" s="44"/>
      <c r="F206" s="44"/>
    </row>
    <row r="207" customFormat="false" ht="15" hidden="false" customHeight="false" outlineLevel="0" collapsed="false">
      <c r="A207" s="40"/>
      <c r="B207" s="41"/>
      <c r="C207" s="42" t="str">
        <f aca="false">IF($B207="","",IFERROR(INDEX('Credit Ledger'!$B$6:$B$45,MATCH($B207,'Credit Ledger'!$A$6:$A$45,0)),"** ID not found **"))</f>
        <v/>
      </c>
      <c r="D207" s="43"/>
      <c r="E207" s="44"/>
      <c r="F207" s="44"/>
    </row>
    <row r="208" customFormat="false" ht="15" hidden="false" customHeight="false" outlineLevel="0" collapsed="false">
      <c r="A208" s="40"/>
      <c r="B208" s="41"/>
      <c r="C208" s="42" t="str">
        <f aca="false">IF($B208="","",IFERROR(INDEX('Credit Ledger'!$B$6:$B$45,MATCH($B208,'Credit Ledger'!$A$6:$A$45,0)),"** ID not found **"))</f>
        <v/>
      </c>
      <c r="D208" s="43"/>
      <c r="E208" s="44"/>
      <c r="F208" s="44"/>
    </row>
    <row r="209" customFormat="false" ht="15" hidden="false" customHeight="false" outlineLevel="0" collapsed="false">
      <c r="A209" s="40"/>
      <c r="B209" s="41"/>
      <c r="C209" s="42" t="str">
        <f aca="false">IF($B209="","",IFERROR(INDEX('Credit Ledger'!$B$6:$B$45,MATCH($B209,'Credit Ledger'!$A$6:$A$45,0)),"** ID not found **"))</f>
        <v/>
      </c>
      <c r="D209" s="43"/>
      <c r="E209" s="44"/>
      <c r="F209" s="44"/>
    </row>
    <row r="210" customFormat="false" ht="15" hidden="false" customHeight="false" outlineLevel="0" collapsed="false">
      <c r="A210" s="40"/>
      <c r="B210" s="41"/>
      <c r="C210" s="42" t="str">
        <f aca="false">IF($B210="","",IFERROR(INDEX('Credit Ledger'!$B$6:$B$45,MATCH($B210,'Credit Ledger'!$A$6:$A$45,0)),"** ID not found **"))</f>
        <v/>
      </c>
      <c r="D210" s="43"/>
      <c r="E210" s="44"/>
      <c r="F210" s="44"/>
    </row>
    <row r="211" customFormat="false" ht="15" hidden="false" customHeight="false" outlineLevel="0" collapsed="false">
      <c r="A211" s="40"/>
      <c r="B211" s="41"/>
      <c r="C211" s="42" t="str">
        <f aca="false">IF($B211="","",IFERROR(INDEX('Credit Ledger'!$B$6:$B$45,MATCH($B211,'Credit Ledger'!$A$6:$A$45,0)),"** ID not found **"))</f>
        <v/>
      </c>
      <c r="D211" s="43"/>
      <c r="E211" s="44"/>
      <c r="F211" s="44"/>
    </row>
    <row r="212" customFormat="false" ht="15" hidden="false" customHeight="false" outlineLevel="0" collapsed="false">
      <c r="A212" s="40"/>
      <c r="B212" s="41"/>
      <c r="C212" s="42" t="str">
        <f aca="false">IF($B212="","",IFERROR(INDEX('Credit Ledger'!$B$6:$B$45,MATCH($B212,'Credit Ledger'!$A$6:$A$45,0)),"** ID not found **"))</f>
        <v/>
      </c>
      <c r="D212" s="43"/>
      <c r="E212" s="44"/>
      <c r="F212" s="44"/>
    </row>
    <row r="213" customFormat="false" ht="15" hidden="false" customHeight="false" outlineLevel="0" collapsed="false">
      <c r="A213" s="40"/>
      <c r="B213" s="41"/>
      <c r="C213" s="42" t="str">
        <f aca="false">IF($B213="","",IFERROR(INDEX('Credit Ledger'!$B$6:$B$45,MATCH($B213,'Credit Ledger'!$A$6:$A$45,0)),"** ID not found **"))</f>
        <v/>
      </c>
      <c r="D213" s="43"/>
      <c r="E213" s="44"/>
      <c r="F213" s="44"/>
    </row>
    <row r="214" customFormat="false" ht="15" hidden="false" customHeight="false" outlineLevel="0" collapsed="false">
      <c r="A214" s="40"/>
      <c r="B214" s="41"/>
      <c r="C214" s="42" t="str">
        <f aca="false">IF($B214="","",IFERROR(INDEX('Credit Ledger'!$B$6:$B$45,MATCH($B214,'Credit Ledger'!$A$6:$A$45,0)),"** ID not found **"))</f>
        <v/>
      </c>
      <c r="D214" s="43"/>
      <c r="E214" s="44"/>
      <c r="F214" s="44"/>
    </row>
    <row r="215" customFormat="false" ht="15" hidden="false" customHeight="false" outlineLevel="0" collapsed="false">
      <c r="A215" s="40"/>
      <c r="B215" s="41"/>
      <c r="C215" s="42" t="str">
        <f aca="false">IF($B215="","",IFERROR(INDEX('Credit Ledger'!$B$6:$B$45,MATCH($B215,'Credit Ledger'!$A$6:$A$45,0)),"** ID not found **"))</f>
        <v/>
      </c>
      <c r="D215" s="43"/>
      <c r="E215" s="44"/>
      <c r="F215" s="44"/>
    </row>
    <row r="216" customFormat="false" ht="15" hidden="false" customHeight="false" outlineLevel="0" collapsed="false">
      <c r="A216" s="40"/>
      <c r="B216" s="41"/>
      <c r="C216" s="42" t="str">
        <f aca="false">IF($B216="","",IFERROR(INDEX('Credit Ledger'!$B$6:$B$45,MATCH($B216,'Credit Ledger'!$A$6:$A$45,0)),"** ID not found **"))</f>
        <v/>
      </c>
      <c r="D216" s="43"/>
      <c r="E216" s="44"/>
      <c r="F216" s="44"/>
    </row>
    <row r="217" customFormat="false" ht="15" hidden="false" customHeight="false" outlineLevel="0" collapsed="false">
      <c r="A217" s="40"/>
      <c r="B217" s="41"/>
      <c r="C217" s="42" t="str">
        <f aca="false">IF($B217="","",IFERROR(INDEX('Credit Ledger'!$B$6:$B$45,MATCH($B217,'Credit Ledger'!$A$6:$A$45,0)),"** ID not found **"))</f>
        <v/>
      </c>
      <c r="D217" s="43"/>
      <c r="E217" s="44"/>
      <c r="F217" s="44"/>
    </row>
    <row r="218" customFormat="false" ht="15" hidden="false" customHeight="false" outlineLevel="0" collapsed="false">
      <c r="A218" s="40"/>
      <c r="B218" s="41"/>
      <c r="C218" s="42" t="str">
        <f aca="false">IF($B218="","",IFERROR(INDEX('Credit Ledger'!$B$6:$B$45,MATCH($B218,'Credit Ledger'!$A$6:$A$45,0)),"** ID not found **"))</f>
        <v/>
      </c>
      <c r="D218" s="43"/>
      <c r="E218" s="44"/>
      <c r="F218" s="44"/>
    </row>
    <row r="219" customFormat="false" ht="15" hidden="false" customHeight="false" outlineLevel="0" collapsed="false">
      <c r="A219" s="40"/>
      <c r="B219" s="41"/>
      <c r="C219" s="42" t="str">
        <f aca="false">IF($B219="","",IFERROR(INDEX('Credit Ledger'!$B$6:$B$45,MATCH($B219,'Credit Ledger'!$A$6:$A$45,0)),"** ID not found **"))</f>
        <v/>
      </c>
      <c r="D219" s="43"/>
      <c r="E219" s="44"/>
      <c r="F219" s="44"/>
    </row>
    <row r="220" customFormat="false" ht="15" hidden="false" customHeight="false" outlineLevel="0" collapsed="false">
      <c r="A220" s="40"/>
      <c r="B220" s="41"/>
      <c r="C220" s="42" t="str">
        <f aca="false">IF($B220="","",IFERROR(INDEX('Credit Ledger'!$B$6:$B$45,MATCH($B220,'Credit Ledger'!$A$6:$A$45,0)),"** ID not found **"))</f>
        <v/>
      </c>
      <c r="D220" s="43"/>
      <c r="E220" s="44"/>
      <c r="F220" s="44"/>
    </row>
    <row r="221" customFormat="false" ht="15" hidden="false" customHeight="false" outlineLevel="0" collapsed="false">
      <c r="A221" s="40"/>
      <c r="B221" s="41"/>
      <c r="C221" s="42" t="str">
        <f aca="false">IF($B221="","",IFERROR(INDEX('Credit Ledger'!$B$6:$B$45,MATCH($B221,'Credit Ledger'!$A$6:$A$45,0)),"** ID not found **"))</f>
        <v/>
      </c>
      <c r="D221" s="43"/>
      <c r="E221" s="44"/>
      <c r="F221" s="44"/>
    </row>
    <row r="222" customFormat="false" ht="15" hidden="false" customHeight="false" outlineLevel="0" collapsed="false">
      <c r="A222" s="40"/>
      <c r="B222" s="41"/>
      <c r="C222" s="42" t="str">
        <f aca="false">IF($B222="","",IFERROR(INDEX('Credit Ledger'!$B$6:$B$45,MATCH($B222,'Credit Ledger'!$A$6:$A$45,0)),"** ID not found **"))</f>
        <v/>
      </c>
      <c r="D222" s="43"/>
      <c r="E222" s="44"/>
      <c r="F222" s="44"/>
    </row>
    <row r="223" customFormat="false" ht="15" hidden="false" customHeight="false" outlineLevel="0" collapsed="false">
      <c r="A223" s="40"/>
      <c r="B223" s="41"/>
      <c r="C223" s="42" t="str">
        <f aca="false">IF($B223="","",IFERROR(INDEX('Credit Ledger'!$B$6:$B$45,MATCH($B223,'Credit Ledger'!$A$6:$A$45,0)),"** ID not found **"))</f>
        <v/>
      </c>
      <c r="D223" s="43"/>
      <c r="E223" s="44"/>
      <c r="F223" s="44"/>
    </row>
    <row r="224" customFormat="false" ht="15" hidden="false" customHeight="false" outlineLevel="0" collapsed="false">
      <c r="A224" s="40"/>
      <c r="B224" s="41"/>
      <c r="C224" s="42" t="str">
        <f aca="false">IF($B224="","",IFERROR(INDEX('Credit Ledger'!$B$6:$B$45,MATCH($B224,'Credit Ledger'!$A$6:$A$45,0)),"** ID not found **"))</f>
        <v/>
      </c>
      <c r="D224" s="43"/>
      <c r="E224" s="44"/>
      <c r="F224" s="44"/>
    </row>
    <row r="225" customFormat="false" ht="15" hidden="false" customHeight="false" outlineLevel="0" collapsed="false">
      <c r="A225" s="40"/>
      <c r="B225" s="41"/>
      <c r="C225" s="42" t="str">
        <f aca="false">IF($B225="","",IFERROR(INDEX('Credit Ledger'!$B$6:$B$45,MATCH($B225,'Credit Ledger'!$A$6:$A$45,0)),"** ID not found **"))</f>
        <v/>
      </c>
      <c r="D225" s="43"/>
      <c r="E225" s="44"/>
      <c r="F225" s="44"/>
    </row>
    <row r="226" customFormat="false" ht="15" hidden="false" customHeight="false" outlineLevel="0" collapsed="false">
      <c r="A226" s="40"/>
      <c r="B226" s="41"/>
      <c r="C226" s="42" t="str">
        <f aca="false">IF($B226="","",IFERROR(INDEX('Credit Ledger'!$B$6:$B$45,MATCH($B226,'Credit Ledger'!$A$6:$A$45,0)),"** ID not found **"))</f>
        <v/>
      </c>
      <c r="D226" s="43"/>
      <c r="E226" s="44"/>
      <c r="F226" s="44"/>
    </row>
    <row r="227" customFormat="false" ht="15" hidden="false" customHeight="false" outlineLevel="0" collapsed="false">
      <c r="A227" s="40"/>
      <c r="B227" s="41"/>
      <c r="C227" s="42" t="str">
        <f aca="false">IF($B227="","",IFERROR(INDEX('Credit Ledger'!$B$6:$B$45,MATCH($B227,'Credit Ledger'!$A$6:$A$45,0)),"** ID not found **"))</f>
        <v/>
      </c>
      <c r="D227" s="43"/>
      <c r="E227" s="44"/>
      <c r="F227" s="44"/>
    </row>
    <row r="228" customFormat="false" ht="15" hidden="false" customHeight="false" outlineLevel="0" collapsed="false">
      <c r="A228" s="40"/>
      <c r="B228" s="41"/>
      <c r="C228" s="42" t="str">
        <f aca="false">IF($B228="","",IFERROR(INDEX('Credit Ledger'!$B$6:$B$45,MATCH($B228,'Credit Ledger'!$A$6:$A$45,0)),"** ID not found **"))</f>
        <v/>
      </c>
      <c r="D228" s="43"/>
      <c r="E228" s="44"/>
      <c r="F228" s="44"/>
    </row>
    <row r="229" customFormat="false" ht="15" hidden="false" customHeight="false" outlineLevel="0" collapsed="false">
      <c r="A229" s="40"/>
      <c r="B229" s="41"/>
      <c r="C229" s="42" t="str">
        <f aca="false">IF($B229="","",IFERROR(INDEX('Credit Ledger'!$B$6:$B$45,MATCH($B229,'Credit Ledger'!$A$6:$A$45,0)),"** ID not found **"))</f>
        <v/>
      </c>
      <c r="D229" s="43"/>
      <c r="E229" s="44"/>
      <c r="F229" s="44"/>
    </row>
    <row r="230" customFormat="false" ht="15" hidden="false" customHeight="false" outlineLevel="0" collapsed="false">
      <c r="A230" s="40"/>
      <c r="B230" s="41"/>
      <c r="C230" s="42" t="str">
        <f aca="false">IF($B230="","",IFERROR(INDEX('Credit Ledger'!$B$6:$B$45,MATCH($B230,'Credit Ledger'!$A$6:$A$45,0)),"** ID not found **"))</f>
        <v/>
      </c>
      <c r="D230" s="43"/>
      <c r="E230" s="44"/>
      <c r="F230" s="44"/>
    </row>
    <row r="231" customFormat="false" ht="15" hidden="false" customHeight="false" outlineLevel="0" collapsed="false">
      <c r="A231" s="40"/>
      <c r="B231" s="41"/>
      <c r="C231" s="42" t="str">
        <f aca="false">IF($B231="","",IFERROR(INDEX('Credit Ledger'!$B$6:$B$45,MATCH($B231,'Credit Ledger'!$A$6:$A$45,0)),"** ID not found **"))</f>
        <v/>
      </c>
      <c r="D231" s="43"/>
      <c r="E231" s="44"/>
      <c r="F231" s="44"/>
    </row>
    <row r="232" customFormat="false" ht="15" hidden="false" customHeight="false" outlineLevel="0" collapsed="false">
      <c r="A232" s="40"/>
      <c r="B232" s="41"/>
      <c r="C232" s="42" t="str">
        <f aca="false">IF($B232="","",IFERROR(INDEX('Credit Ledger'!$B$6:$B$45,MATCH($B232,'Credit Ledger'!$A$6:$A$45,0)),"** ID not found **"))</f>
        <v/>
      </c>
      <c r="D232" s="43"/>
      <c r="E232" s="44"/>
      <c r="F232" s="44"/>
    </row>
    <row r="233" customFormat="false" ht="15" hidden="false" customHeight="false" outlineLevel="0" collapsed="false">
      <c r="A233" s="40"/>
      <c r="B233" s="41"/>
      <c r="C233" s="42" t="str">
        <f aca="false">IF($B233="","",IFERROR(INDEX('Credit Ledger'!$B$6:$B$45,MATCH($B233,'Credit Ledger'!$A$6:$A$45,0)),"** ID not found **"))</f>
        <v/>
      </c>
      <c r="D233" s="43"/>
      <c r="E233" s="44"/>
      <c r="F233" s="44"/>
    </row>
    <row r="234" customFormat="false" ht="15" hidden="false" customHeight="false" outlineLevel="0" collapsed="false">
      <c r="A234" s="40"/>
      <c r="B234" s="41"/>
      <c r="C234" s="42" t="str">
        <f aca="false">IF($B234="","",IFERROR(INDEX('Credit Ledger'!$B$6:$B$45,MATCH($B234,'Credit Ledger'!$A$6:$A$45,0)),"** ID not found **"))</f>
        <v/>
      </c>
      <c r="D234" s="43"/>
      <c r="E234" s="44"/>
      <c r="F234" s="44"/>
    </row>
    <row r="235" customFormat="false" ht="15" hidden="false" customHeight="false" outlineLevel="0" collapsed="false">
      <c r="A235" s="40"/>
      <c r="B235" s="41"/>
      <c r="C235" s="42" t="str">
        <f aca="false">IF($B235="","",IFERROR(INDEX('Credit Ledger'!$B$6:$B$45,MATCH($B235,'Credit Ledger'!$A$6:$A$45,0)),"** ID not found **"))</f>
        <v/>
      </c>
      <c r="D235" s="43"/>
      <c r="E235" s="44"/>
      <c r="F235" s="44"/>
    </row>
    <row r="236" customFormat="false" ht="15" hidden="false" customHeight="false" outlineLevel="0" collapsed="false">
      <c r="A236" s="40"/>
      <c r="B236" s="41"/>
      <c r="C236" s="42" t="str">
        <f aca="false">IF($B236="","",IFERROR(INDEX('Credit Ledger'!$B$6:$B$45,MATCH($B236,'Credit Ledger'!$A$6:$A$45,0)),"** ID not found **"))</f>
        <v/>
      </c>
      <c r="D236" s="43"/>
      <c r="E236" s="44"/>
      <c r="F236" s="44"/>
    </row>
    <row r="237" customFormat="false" ht="15" hidden="false" customHeight="false" outlineLevel="0" collapsed="false">
      <c r="A237" s="40"/>
      <c r="B237" s="41"/>
      <c r="C237" s="42" t="str">
        <f aca="false">IF($B237="","",IFERROR(INDEX('Credit Ledger'!$B$6:$B$45,MATCH($B237,'Credit Ledger'!$A$6:$A$45,0)),"** ID not found **"))</f>
        <v/>
      </c>
      <c r="D237" s="43"/>
      <c r="E237" s="44"/>
      <c r="F237" s="44"/>
    </row>
    <row r="238" customFormat="false" ht="15" hidden="false" customHeight="false" outlineLevel="0" collapsed="false">
      <c r="A238" s="40"/>
      <c r="B238" s="41"/>
      <c r="C238" s="42" t="str">
        <f aca="false">IF($B238="","",IFERROR(INDEX('Credit Ledger'!$B$6:$B$45,MATCH($B238,'Credit Ledger'!$A$6:$A$45,0)),"** ID not found **"))</f>
        <v/>
      </c>
      <c r="D238" s="43"/>
      <c r="E238" s="44"/>
      <c r="F238" s="44"/>
    </row>
    <row r="239" customFormat="false" ht="15" hidden="false" customHeight="false" outlineLevel="0" collapsed="false">
      <c r="A239" s="40"/>
      <c r="B239" s="41"/>
      <c r="C239" s="42" t="str">
        <f aca="false">IF($B239="","",IFERROR(INDEX('Credit Ledger'!$B$6:$B$45,MATCH($B239,'Credit Ledger'!$A$6:$A$45,0)),"** ID not found **"))</f>
        <v/>
      </c>
      <c r="D239" s="43"/>
      <c r="E239" s="44"/>
      <c r="F239" s="44"/>
    </row>
    <row r="240" customFormat="false" ht="15" hidden="false" customHeight="false" outlineLevel="0" collapsed="false">
      <c r="A240" s="40"/>
      <c r="B240" s="41"/>
      <c r="C240" s="42" t="str">
        <f aca="false">IF($B240="","",IFERROR(INDEX('Credit Ledger'!$B$6:$B$45,MATCH($B240,'Credit Ledger'!$A$6:$A$45,0)),"** ID not found **"))</f>
        <v/>
      </c>
      <c r="D240" s="43"/>
      <c r="E240" s="44"/>
      <c r="F240" s="44"/>
    </row>
    <row r="241" customFormat="false" ht="15" hidden="false" customHeight="false" outlineLevel="0" collapsed="false">
      <c r="A241" s="40"/>
      <c r="B241" s="41"/>
      <c r="C241" s="42" t="str">
        <f aca="false">IF($B241="","",IFERROR(INDEX('Credit Ledger'!$B$6:$B$45,MATCH($B241,'Credit Ledger'!$A$6:$A$45,0)),"** ID not found **"))</f>
        <v/>
      </c>
      <c r="D241" s="43"/>
      <c r="E241" s="44"/>
      <c r="F241" s="44"/>
    </row>
    <row r="242" customFormat="false" ht="15" hidden="false" customHeight="false" outlineLevel="0" collapsed="false">
      <c r="A242" s="40"/>
      <c r="B242" s="41"/>
      <c r="C242" s="42" t="str">
        <f aca="false">IF($B242="","",IFERROR(INDEX('Credit Ledger'!$B$6:$B$45,MATCH($B242,'Credit Ledger'!$A$6:$A$45,0)),"** ID not found **"))</f>
        <v/>
      </c>
      <c r="D242" s="43"/>
      <c r="E242" s="44"/>
      <c r="F242" s="44"/>
    </row>
    <row r="243" customFormat="false" ht="15" hidden="false" customHeight="false" outlineLevel="0" collapsed="false">
      <c r="A243" s="40"/>
      <c r="B243" s="41"/>
      <c r="C243" s="42" t="str">
        <f aca="false">IF($B243="","",IFERROR(INDEX('Credit Ledger'!$B$6:$B$45,MATCH($B243,'Credit Ledger'!$A$6:$A$45,0)),"** ID not found **"))</f>
        <v/>
      </c>
      <c r="D243" s="43"/>
      <c r="E243" s="44"/>
      <c r="F243" s="44"/>
    </row>
    <row r="244" customFormat="false" ht="15" hidden="false" customHeight="false" outlineLevel="0" collapsed="false">
      <c r="A244" s="40"/>
      <c r="B244" s="41"/>
      <c r="C244" s="42" t="str">
        <f aca="false">IF($B244="","",IFERROR(INDEX('Credit Ledger'!$B$6:$B$45,MATCH($B244,'Credit Ledger'!$A$6:$A$45,0)),"** ID not found **"))</f>
        <v/>
      </c>
      <c r="D244" s="43"/>
      <c r="E244" s="44"/>
      <c r="F244" s="44"/>
    </row>
    <row r="245" customFormat="false" ht="15" hidden="false" customHeight="false" outlineLevel="0" collapsed="false">
      <c r="A245" s="40"/>
      <c r="B245" s="41"/>
      <c r="C245" s="42" t="str">
        <f aca="false">IF($B245="","",IFERROR(INDEX('Credit Ledger'!$B$6:$B$45,MATCH($B245,'Credit Ledger'!$A$6:$A$45,0)),"** ID not found **"))</f>
        <v/>
      </c>
      <c r="D245" s="43"/>
      <c r="E245" s="44"/>
      <c r="F245" s="44"/>
    </row>
    <row r="246" customFormat="false" ht="15" hidden="false" customHeight="false" outlineLevel="0" collapsed="false">
      <c r="A246" s="40"/>
      <c r="B246" s="41"/>
      <c r="C246" s="42" t="str">
        <f aca="false">IF($B246="","",IFERROR(INDEX('Credit Ledger'!$B$6:$B$45,MATCH($B246,'Credit Ledger'!$A$6:$A$45,0)),"** ID not found **"))</f>
        <v/>
      </c>
      <c r="D246" s="43"/>
      <c r="E246" s="44"/>
      <c r="F246" s="44"/>
    </row>
    <row r="247" customFormat="false" ht="15" hidden="false" customHeight="false" outlineLevel="0" collapsed="false">
      <c r="A247" s="40"/>
      <c r="B247" s="41"/>
      <c r="C247" s="42" t="str">
        <f aca="false">IF($B247="","",IFERROR(INDEX('Credit Ledger'!$B$6:$B$45,MATCH($B247,'Credit Ledger'!$A$6:$A$45,0)),"** ID not found **"))</f>
        <v/>
      </c>
      <c r="D247" s="43"/>
      <c r="E247" s="44"/>
      <c r="F247" s="44"/>
    </row>
    <row r="248" customFormat="false" ht="15" hidden="false" customHeight="false" outlineLevel="0" collapsed="false">
      <c r="A248" s="40"/>
      <c r="B248" s="41"/>
      <c r="C248" s="42" t="str">
        <f aca="false">IF($B248="","",IFERROR(INDEX('Credit Ledger'!$B$6:$B$45,MATCH($B248,'Credit Ledger'!$A$6:$A$45,0)),"** ID not found **"))</f>
        <v/>
      </c>
      <c r="D248" s="43"/>
      <c r="E248" s="44"/>
      <c r="F248" s="44"/>
    </row>
    <row r="249" customFormat="false" ht="15" hidden="false" customHeight="false" outlineLevel="0" collapsed="false">
      <c r="A249" s="40"/>
      <c r="B249" s="41"/>
      <c r="C249" s="42" t="str">
        <f aca="false">IF($B249="","",IFERROR(INDEX('Credit Ledger'!$B$6:$B$45,MATCH($B249,'Credit Ledger'!$A$6:$A$45,0)),"** ID not found **"))</f>
        <v/>
      </c>
      <c r="D249" s="43"/>
      <c r="E249" s="44"/>
      <c r="F249" s="44"/>
    </row>
    <row r="250" customFormat="false" ht="15" hidden="false" customHeight="false" outlineLevel="0" collapsed="false">
      <c r="A250" s="40"/>
      <c r="B250" s="41"/>
      <c r="C250" s="42" t="str">
        <f aca="false">IF($B250="","",IFERROR(INDEX('Credit Ledger'!$B$6:$B$45,MATCH($B250,'Credit Ledger'!$A$6:$A$45,0)),"** ID not found **"))</f>
        <v/>
      </c>
      <c r="D250" s="43"/>
      <c r="E250" s="44"/>
      <c r="F250" s="44"/>
    </row>
    <row r="251" customFormat="false" ht="15" hidden="false" customHeight="false" outlineLevel="0" collapsed="false">
      <c r="A251" s="40"/>
      <c r="B251" s="41"/>
      <c r="C251" s="42" t="str">
        <f aca="false">IF($B251="","",IFERROR(INDEX('Credit Ledger'!$B$6:$B$45,MATCH($B251,'Credit Ledger'!$A$6:$A$45,0)),"** ID not found **"))</f>
        <v/>
      </c>
      <c r="D251" s="43"/>
      <c r="E251" s="44"/>
      <c r="F251" s="44"/>
    </row>
    <row r="252" customFormat="false" ht="15" hidden="false" customHeight="false" outlineLevel="0" collapsed="false">
      <c r="A252" s="40"/>
      <c r="B252" s="41"/>
      <c r="C252" s="42" t="str">
        <f aca="false">IF($B252="","",IFERROR(INDEX('Credit Ledger'!$B$6:$B$45,MATCH($B252,'Credit Ledger'!$A$6:$A$45,0)),"** ID not found **"))</f>
        <v/>
      </c>
      <c r="D252" s="43"/>
      <c r="E252" s="44"/>
      <c r="F252" s="44"/>
    </row>
    <row r="253" customFormat="false" ht="15" hidden="false" customHeight="false" outlineLevel="0" collapsed="false">
      <c r="A253" s="40"/>
      <c r="B253" s="41"/>
      <c r="C253" s="42" t="str">
        <f aca="false">IF($B253="","",IFERROR(INDEX('Credit Ledger'!$B$6:$B$45,MATCH($B253,'Credit Ledger'!$A$6:$A$45,0)),"** ID not found **"))</f>
        <v/>
      </c>
      <c r="D253" s="43"/>
      <c r="E253" s="44"/>
      <c r="F253" s="44"/>
    </row>
    <row r="254" customFormat="false" ht="15" hidden="false" customHeight="false" outlineLevel="0" collapsed="false">
      <c r="A254" s="40"/>
      <c r="B254" s="41"/>
      <c r="C254" s="42" t="str">
        <f aca="false">IF($B254="","",IFERROR(INDEX('Credit Ledger'!$B$6:$B$45,MATCH($B254,'Credit Ledger'!$A$6:$A$45,0)),"** ID not found **"))</f>
        <v/>
      </c>
      <c r="D254" s="43"/>
      <c r="E254" s="44"/>
      <c r="F254" s="44"/>
    </row>
    <row r="255" customFormat="false" ht="15" hidden="false" customHeight="false" outlineLevel="0" collapsed="false">
      <c r="A255" s="40"/>
      <c r="B255" s="41"/>
      <c r="C255" s="42" t="str">
        <f aca="false">IF($B255="","",IFERROR(INDEX('Credit Ledger'!$B$6:$B$45,MATCH($B255,'Credit Ledger'!$A$6:$A$45,0)),"** ID not found **"))</f>
        <v/>
      </c>
      <c r="D255" s="43"/>
      <c r="E255" s="44"/>
      <c r="F255" s="44"/>
    </row>
    <row r="256" customFormat="false" ht="15" hidden="false" customHeight="false" outlineLevel="0" collapsed="false">
      <c r="A256" s="40"/>
      <c r="B256" s="41"/>
      <c r="C256" s="42" t="str">
        <f aca="false">IF($B256="","",IFERROR(INDEX('Credit Ledger'!$B$6:$B$45,MATCH($B256,'Credit Ledger'!$A$6:$A$45,0)),"** ID not found **"))</f>
        <v/>
      </c>
      <c r="D256" s="43"/>
      <c r="E256" s="44"/>
      <c r="F256" s="44"/>
    </row>
    <row r="257" customFormat="false" ht="15" hidden="false" customHeight="false" outlineLevel="0" collapsed="false">
      <c r="A257" s="40"/>
      <c r="B257" s="41"/>
      <c r="C257" s="42" t="str">
        <f aca="false">IF($B257="","",IFERROR(INDEX('Credit Ledger'!$B$6:$B$45,MATCH($B257,'Credit Ledger'!$A$6:$A$45,0)),"** ID not found **"))</f>
        <v/>
      </c>
      <c r="D257" s="43"/>
      <c r="E257" s="44"/>
      <c r="F257" s="44"/>
    </row>
    <row r="258" customFormat="false" ht="15" hidden="false" customHeight="false" outlineLevel="0" collapsed="false">
      <c r="A258" s="40"/>
      <c r="B258" s="41"/>
      <c r="C258" s="42" t="str">
        <f aca="false">IF($B258="","",IFERROR(INDEX('Credit Ledger'!$B$6:$B$45,MATCH($B258,'Credit Ledger'!$A$6:$A$45,0)),"** ID not found **"))</f>
        <v/>
      </c>
      <c r="D258" s="43"/>
      <c r="E258" s="44"/>
      <c r="F258" s="44"/>
    </row>
    <row r="259" customFormat="false" ht="15" hidden="false" customHeight="false" outlineLevel="0" collapsed="false">
      <c r="A259" s="40"/>
      <c r="B259" s="41"/>
      <c r="C259" s="42" t="str">
        <f aca="false">IF($B259="","",IFERROR(INDEX('Credit Ledger'!$B$6:$B$45,MATCH($B259,'Credit Ledger'!$A$6:$A$45,0)),"** ID not found **"))</f>
        <v/>
      </c>
      <c r="D259" s="43"/>
      <c r="E259" s="44"/>
      <c r="F259" s="44"/>
    </row>
    <row r="260" customFormat="false" ht="15" hidden="false" customHeight="false" outlineLevel="0" collapsed="false">
      <c r="A260" s="40"/>
      <c r="B260" s="41"/>
      <c r="C260" s="42" t="str">
        <f aca="false">IF($B260="","",IFERROR(INDEX('Credit Ledger'!$B$6:$B$45,MATCH($B260,'Credit Ledger'!$A$6:$A$45,0)),"** ID not found **"))</f>
        <v/>
      </c>
      <c r="D260" s="43"/>
      <c r="E260" s="44"/>
      <c r="F260" s="44"/>
    </row>
    <row r="261" customFormat="false" ht="15" hidden="false" customHeight="false" outlineLevel="0" collapsed="false">
      <c r="A261" s="40"/>
      <c r="B261" s="41"/>
      <c r="C261" s="42" t="str">
        <f aca="false">IF($B261="","",IFERROR(INDEX('Credit Ledger'!$B$6:$B$45,MATCH($B261,'Credit Ledger'!$A$6:$A$45,0)),"** ID not found **"))</f>
        <v/>
      </c>
      <c r="D261" s="43"/>
      <c r="E261" s="44"/>
      <c r="F261" s="44"/>
    </row>
    <row r="262" customFormat="false" ht="15" hidden="false" customHeight="false" outlineLevel="0" collapsed="false">
      <c r="A262" s="40"/>
      <c r="B262" s="41"/>
      <c r="C262" s="42" t="str">
        <f aca="false">IF($B262="","",IFERROR(INDEX('Credit Ledger'!$B$6:$B$45,MATCH($B262,'Credit Ledger'!$A$6:$A$45,0)),"** ID not found **"))</f>
        <v/>
      </c>
      <c r="D262" s="43"/>
      <c r="E262" s="44"/>
      <c r="F262" s="44"/>
    </row>
    <row r="263" customFormat="false" ht="15" hidden="false" customHeight="false" outlineLevel="0" collapsed="false">
      <c r="A263" s="40"/>
      <c r="B263" s="41"/>
      <c r="C263" s="42" t="str">
        <f aca="false">IF($B263="","",IFERROR(INDEX('Credit Ledger'!$B$6:$B$45,MATCH($B263,'Credit Ledger'!$A$6:$A$45,0)),"** ID not found **"))</f>
        <v/>
      </c>
      <c r="D263" s="43"/>
      <c r="E263" s="44"/>
      <c r="F263" s="44"/>
    </row>
    <row r="264" customFormat="false" ht="15" hidden="false" customHeight="false" outlineLevel="0" collapsed="false">
      <c r="A264" s="40"/>
      <c r="B264" s="41"/>
      <c r="C264" s="42" t="str">
        <f aca="false">IF($B264="","",IFERROR(INDEX('Credit Ledger'!$B$6:$B$45,MATCH($B264,'Credit Ledger'!$A$6:$A$45,0)),"** ID not found **"))</f>
        <v/>
      </c>
      <c r="D264" s="43"/>
      <c r="E264" s="44"/>
      <c r="F264" s="44"/>
    </row>
    <row r="265" customFormat="false" ht="15" hidden="false" customHeight="false" outlineLevel="0" collapsed="false">
      <c r="A265" s="40"/>
      <c r="B265" s="41"/>
      <c r="C265" s="42" t="str">
        <f aca="false">IF($B265="","",IFERROR(INDEX('Credit Ledger'!$B$6:$B$45,MATCH($B265,'Credit Ledger'!$A$6:$A$45,0)),"** ID not found **"))</f>
        <v/>
      </c>
      <c r="D265" s="43"/>
      <c r="E265" s="44"/>
      <c r="F265" s="44"/>
    </row>
    <row r="266" customFormat="false" ht="15" hidden="false" customHeight="false" outlineLevel="0" collapsed="false">
      <c r="A266" s="40"/>
      <c r="B266" s="41"/>
      <c r="C266" s="42" t="str">
        <f aca="false">IF($B266="","",IFERROR(INDEX('Credit Ledger'!$B$6:$B$45,MATCH($B266,'Credit Ledger'!$A$6:$A$45,0)),"** ID not found **"))</f>
        <v/>
      </c>
      <c r="D266" s="43"/>
      <c r="E266" s="44"/>
      <c r="F266" s="44"/>
    </row>
    <row r="267" customFormat="false" ht="15" hidden="false" customHeight="false" outlineLevel="0" collapsed="false">
      <c r="A267" s="40"/>
      <c r="B267" s="41"/>
      <c r="C267" s="42" t="str">
        <f aca="false">IF($B267="","",IFERROR(INDEX('Credit Ledger'!$B$6:$B$45,MATCH($B267,'Credit Ledger'!$A$6:$A$45,0)),"** ID not found **"))</f>
        <v/>
      </c>
      <c r="D267" s="43"/>
      <c r="E267" s="44"/>
      <c r="F267" s="44"/>
    </row>
    <row r="268" customFormat="false" ht="15" hidden="false" customHeight="false" outlineLevel="0" collapsed="false">
      <c r="A268" s="40"/>
      <c r="B268" s="41"/>
      <c r="C268" s="42" t="str">
        <f aca="false">IF($B268="","",IFERROR(INDEX('Credit Ledger'!$B$6:$B$45,MATCH($B268,'Credit Ledger'!$A$6:$A$45,0)),"** ID not found **"))</f>
        <v/>
      </c>
      <c r="D268" s="43"/>
      <c r="E268" s="44"/>
      <c r="F268" s="44"/>
    </row>
    <row r="269" customFormat="false" ht="15" hidden="false" customHeight="false" outlineLevel="0" collapsed="false">
      <c r="A269" s="40"/>
      <c r="B269" s="41"/>
      <c r="C269" s="42" t="str">
        <f aca="false">IF($B269="","",IFERROR(INDEX('Credit Ledger'!$B$6:$B$45,MATCH($B269,'Credit Ledger'!$A$6:$A$45,0)),"** ID not found **"))</f>
        <v/>
      </c>
      <c r="D269" s="43"/>
      <c r="E269" s="44"/>
      <c r="F269" s="44"/>
    </row>
    <row r="270" customFormat="false" ht="15" hidden="false" customHeight="false" outlineLevel="0" collapsed="false">
      <c r="A270" s="40"/>
      <c r="B270" s="41"/>
      <c r="C270" s="42" t="str">
        <f aca="false">IF($B270="","",IFERROR(INDEX('Credit Ledger'!$B$6:$B$45,MATCH($B270,'Credit Ledger'!$A$6:$A$45,0)),"** ID not found **"))</f>
        <v/>
      </c>
      <c r="D270" s="43"/>
      <c r="E270" s="44"/>
      <c r="F270" s="44"/>
    </row>
    <row r="271" customFormat="false" ht="15" hidden="false" customHeight="false" outlineLevel="0" collapsed="false">
      <c r="A271" s="40"/>
      <c r="B271" s="41"/>
      <c r="C271" s="42" t="str">
        <f aca="false">IF($B271="","",IFERROR(INDEX('Credit Ledger'!$B$6:$B$45,MATCH($B271,'Credit Ledger'!$A$6:$A$45,0)),"** ID not found **"))</f>
        <v/>
      </c>
      <c r="D271" s="43"/>
      <c r="E271" s="44"/>
      <c r="F271" s="44"/>
    </row>
    <row r="272" customFormat="false" ht="15" hidden="false" customHeight="false" outlineLevel="0" collapsed="false">
      <c r="A272" s="40"/>
      <c r="B272" s="41"/>
      <c r="C272" s="42" t="str">
        <f aca="false">IF($B272="","",IFERROR(INDEX('Credit Ledger'!$B$6:$B$45,MATCH($B272,'Credit Ledger'!$A$6:$A$45,0)),"** ID not found **"))</f>
        <v/>
      </c>
      <c r="D272" s="43"/>
      <c r="E272" s="44"/>
      <c r="F272" s="44"/>
    </row>
    <row r="273" customFormat="false" ht="15" hidden="false" customHeight="false" outlineLevel="0" collapsed="false">
      <c r="A273" s="40"/>
      <c r="B273" s="41"/>
      <c r="C273" s="42" t="str">
        <f aca="false">IF($B273="","",IFERROR(INDEX('Credit Ledger'!$B$6:$B$45,MATCH($B273,'Credit Ledger'!$A$6:$A$45,0)),"** ID not found **"))</f>
        <v/>
      </c>
      <c r="D273" s="43"/>
      <c r="E273" s="44"/>
      <c r="F273" s="44"/>
    </row>
    <row r="274" customFormat="false" ht="15" hidden="false" customHeight="false" outlineLevel="0" collapsed="false">
      <c r="A274" s="40"/>
      <c r="B274" s="41"/>
      <c r="C274" s="42" t="str">
        <f aca="false">IF($B274="","",IFERROR(INDEX('Credit Ledger'!$B$6:$B$45,MATCH($B274,'Credit Ledger'!$A$6:$A$45,0)),"** ID not found **"))</f>
        <v/>
      </c>
      <c r="D274" s="43"/>
      <c r="E274" s="44"/>
      <c r="F274" s="44"/>
    </row>
    <row r="275" customFormat="false" ht="15" hidden="false" customHeight="false" outlineLevel="0" collapsed="false">
      <c r="A275" s="40"/>
      <c r="B275" s="41"/>
      <c r="C275" s="42" t="str">
        <f aca="false">IF($B275="","",IFERROR(INDEX('Credit Ledger'!$B$6:$B$45,MATCH($B275,'Credit Ledger'!$A$6:$A$45,0)),"** ID not found **"))</f>
        <v/>
      </c>
      <c r="D275" s="43"/>
      <c r="E275" s="44"/>
      <c r="F275" s="44"/>
    </row>
    <row r="276" customFormat="false" ht="15" hidden="false" customHeight="false" outlineLevel="0" collapsed="false">
      <c r="A276" s="40"/>
      <c r="B276" s="41"/>
      <c r="C276" s="42" t="str">
        <f aca="false">IF($B276="","",IFERROR(INDEX('Credit Ledger'!$B$6:$B$45,MATCH($B276,'Credit Ledger'!$A$6:$A$45,0)),"** ID not found **"))</f>
        <v/>
      </c>
      <c r="D276" s="43"/>
      <c r="E276" s="44"/>
      <c r="F276" s="44"/>
    </row>
    <row r="277" customFormat="false" ht="15" hidden="false" customHeight="false" outlineLevel="0" collapsed="false">
      <c r="A277" s="40"/>
      <c r="B277" s="41"/>
      <c r="C277" s="42" t="str">
        <f aca="false">IF($B277="","",IFERROR(INDEX('Credit Ledger'!$B$6:$B$45,MATCH($B277,'Credit Ledger'!$A$6:$A$45,0)),"** ID not found **"))</f>
        <v/>
      </c>
      <c r="D277" s="43"/>
      <c r="E277" s="44"/>
      <c r="F277" s="44"/>
    </row>
    <row r="278" customFormat="false" ht="15" hidden="false" customHeight="false" outlineLevel="0" collapsed="false">
      <c r="A278" s="40"/>
      <c r="B278" s="41"/>
      <c r="C278" s="42" t="str">
        <f aca="false">IF($B278="","",IFERROR(INDEX('Credit Ledger'!$B$6:$B$45,MATCH($B278,'Credit Ledger'!$A$6:$A$45,0)),"** ID not found **"))</f>
        <v/>
      </c>
      <c r="D278" s="43"/>
      <c r="E278" s="44"/>
      <c r="F278" s="44"/>
    </row>
    <row r="279" customFormat="false" ht="15" hidden="false" customHeight="false" outlineLevel="0" collapsed="false">
      <c r="A279" s="40"/>
      <c r="B279" s="41"/>
      <c r="C279" s="42" t="str">
        <f aca="false">IF($B279="","",IFERROR(INDEX('Credit Ledger'!$B$6:$B$45,MATCH($B279,'Credit Ledger'!$A$6:$A$45,0)),"** ID not found **"))</f>
        <v/>
      </c>
      <c r="D279" s="43"/>
      <c r="E279" s="44"/>
      <c r="F279" s="44"/>
    </row>
    <row r="280" customFormat="false" ht="15" hidden="false" customHeight="false" outlineLevel="0" collapsed="false">
      <c r="A280" s="40"/>
      <c r="B280" s="41"/>
      <c r="C280" s="42" t="str">
        <f aca="false">IF($B280="","",IFERROR(INDEX('Credit Ledger'!$B$6:$B$45,MATCH($B280,'Credit Ledger'!$A$6:$A$45,0)),"** ID not found **"))</f>
        <v/>
      </c>
      <c r="D280" s="43"/>
      <c r="E280" s="44"/>
      <c r="F280" s="44"/>
    </row>
    <row r="281" customFormat="false" ht="15" hidden="false" customHeight="false" outlineLevel="0" collapsed="false">
      <c r="A281" s="40"/>
      <c r="B281" s="41"/>
      <c r="C281" s="42" t="str">
        <f aca="false">IF($B281="","",IFERROR(INDEX('Credit Ledger'!$B$6:$B$45,MATCH($B281,'Credit Ledger'!$A$6:$A$45,0)),"** ID not found **"))</f>
        <v/>
      </c>
      <c r="D281" s="43"/>
      <c r="E281" s="44"/>
      <c r="F281" s="44"/>
    </row>
    <row r="282" customFormat="false" ht="15" hidden="false" customHeight="false" outlineLevel="0" collapsed="false">
      <c r="A282" s="40"/>
      <c r="B282" s="41"/>
      <c r="C282" s="42" t="str">
        <f aca="false">IF($B282="","",IFERROR(INDEX('Credit Ledger'!$B$6:$B$45,MATCH($B282,'Credit Ledger'!$A$6:$A$45,0)),"** ID not found **"))</f>
        <v/>
      </c>
      <c r="D282" s="43"/>
      <c r="E282" s="44"/>
      <c r="F282" s="44"/>
    </row>
    <row r="283" customFormat="false" ht="15" hidden="false" customHeight="false" outlineLevel="0" collapsed="false">
      <c r="A283" s="40"/>
      <c r="B283" s="41"/>
      <c r="C283" s="42" t="str">
        <f aca="false">IF($B283="","",IFERROR(INDEX('Credit Ledger'!$B$6:$B$45,MATCH($B283,'Credit Ledger'!$A$6:$A$45,0)),"** ID not found **"))</f>
        <v/>
      </c>
      <c r="D283" s="43"/>
      <c r="E283" s="44"/>
      <c r="F283" s="44"/>
    </row>
    <row r="284" customFormat="false" ht="15" hidden="false" customHeight="false" outlineLevel="0" collapsed="false">
      <c r="A284" s="40"/>
      <c r="B284" s="41"/>
      <c r="C284" s="42" t="str">
        <f aca="false">IF($B284="","",IFERROR(INDEX('Credit Ledger'!$B$6:$B$45,MATCH($B284,'Credit Ledger'!$A$6:$A$45,0)),"** ID not found **"))</f>
        <v/>
      </c>
      <c r="D284" s="43"/>
      <c r="E284" s="44"/>
      <c r="F284" s="44"/>
    </row>
    <row r="285" customFormat="false" ht="15" hidden="false" customHeight="false" outlineLevel="0" collapsed="false">
      <c r="A285" s="40"/>
      <c r="B285" s="41"/>
      <c r="C285" s="42" t="str">
        <f aca="false">IF($B285="","",IFERROR(INDEX('Credit Ledger'!$B$6:$B$45,MATCH($B285,'Credit Ledger'!$A$6:$A$45,0)),"** ID not found **"))</f>
        <v/>
      </c>
      <c r="D285" s="43"/>
      <c r="E285" s="44"/>
      <c r="F285" s="44"/>
    </row>
    <row r="286" customFormat="false" ht="15" hidden="false" customHeight="false" outlineLevel="0" collapsed="false">
      <c r="A286" s="40"/>
      <c r="B286" s="41"/>
      <c r="C286" s="42" t="str">
        <f aca="false">IF($B286="","",IFERROR(INDEX('Credit Ledger'!$B$6:$B$45,MATCH($B286,'Credit Ledger'!$A$6:$A$45,0)),"** ID not found **"))</f>
        <v/>
      </c>
      <c r="D286" s="43"/>
      <c r="E286" s="44"/>
      <c r="F286" s="44"/>
    </row>
    <row r="287" customFormat="false" ht="15" hidden="false" customHeight="false" outlineLevel="0" collapsed="false">
      <c r="A287" s="40"/>
      <c r="B287" s="41"/>
      <c r="C287" s="42" t="str">
        <f aca="false">IF($B287="","",IFERROR(INDEX('Credit Ledger'!$B$6:$B$45,MATCH($B287,'Credit Ledger'!$A$6:$A$45,0)),"** ID not found **"))</f>
        <v/>
      </c>
      <c r="D287" s="43"/>
      <c r="E287" s="44"/>
      <c r="F287" s="44"/>
    </row>
    <row r="288" customFormat="false" ht="15" hidden="false" customHeight="false" outlineLevel="0" collapsed="false">
      <c r="A288" s="40"/>
      <c r="B288" s="41"/>
      <c r="C288" s="42" t="str">
        <f aca="false">IF($B288="","",IFERROR(INDEX('Credit Ledger'!$B$6:$B$45,MATCH($B288,'Credit Ledger'!$A$6:$A$45,0)),"** ID not found **"))</f>
        <v/>
      </c>
      <c r="D288" s="43"/>
      <c r="E288" s="44"/>
      <c r="F288" s="44"/>
    </row>
    <row r="289" customFormat="false" ht="15" hidden="false" customHeight="false" outlineLevel="0" collapsed="false">
      <c r="A289" s="40"/>
      <c r="B289" s="41"/>
      <c r="C289" s="42" t="str">
        <f aca="false">IF($B289="","",IFERROR(INDEX('Credit Ledger'!$B$6:$B$45,MATCH($B289,'Credit Ledger'!$A$6:$A$45,0)),"** ID not found **"))</f>
        <v/>
      </c>
      <c r="D289" s="43"/>
      <c r="E289" s="44"/>
      <c r="F289" s="44"/>
    </row>
    <row r="290" customFormat="false" ht="15" hidden="false" customHeight="false" outlineLevel="0" collapsed="false">
      <c r="A290" s="40"/>
      <c r="B290" s="41"/>
      <c r="C290" s="42" t="str">
        <f aca="false">IF($B290="","",IFERROR(INDEX('Credit Ledger'!$B$6:$B$45,MATCH($B290,'Credit Ledger'!$A$6:$A$45,0)),"** ID not found **"))</f>
        <v/>
      </c>
      <c r="D290" s="43"/>
      <c r="E290" s="44"/>
      <c r="F290" s="44"/>
    </row>
    <row r="291" customFormat="false" ht="15" hidden="false" customHeight="false" outlineLevel="0" collapsed="false">
      <c r="A291" s="40"/>
      <c r="B291" s="41"/>
      <c r="C291" s="42" t="str">
        <f aca="false">IF($B291="","",IFERROR(INDEX('Credit Ledger'!$B$6:$B$45,MATCH($B291,'Credit Ledger'!$A$6:$A$45,0)),"** ID not found **"))</f>
        <v/>
      </c>
      <c r="D291" s="43"/>
      <c r="E291" s="44"/>
      <c r="F291" s="44"/>
    </row>
    <row r="292" customFormat="false" ht="15" hidden="false" customHeight="false" outlineLevel="0" collapsed="false">
      <c r="A292" s="40"/>
      <c r="B292" s="41"/>
      <c r="C292" s="42" t="str">
        <f aca="false">IF($B292="","",IFERROR(INDEX('Credit Ledger'!$B$6:$B$45,MATCH($B292,'Credit Ledger'!$A$6:$A$45,0)),"** ID not found **"))</f>
        <v/>
      </c>
      <c r="D292" s="43"/>
      <c r="E292" s="44"/>
      <c r="F292" s="44"/>
    </row>
    <row r="293" customFormat="false" ht="15" hidden="false" customHeight="false" outlineLevel="0" collapsed="false">
      <c r="A293" s="40"/>
      <c r="B293" s="41"/>
      <c r="C293" s="42" t="str">
        <f aca="false">IF($B293="","",IFERROR(INDEX('Credit Ledger'!$B$6:$B$45,MATCH($B293,'Credit Ledger'!$A$6:$A$45,0)),"** ID not found **"))</f>
        <v/>
      </c>
      <c r="D293" s="43"/>
      <c r="E293" s="44"/>
      <c r="F293" s="44"/>
    </row>
    <row r="294" customFormat="false" ht="15" hidden="false" customHeight="false" outlineLevel="0" collapsed="false">
      <c r="A294" s="40"/>
      <c r="B294" s="41"/>
      <c r="C294" s="42" t="str">
        <f aca="false">IF($B294="","",IFERROR(INDEX('Credit Ledger'!$B$6:$B$45,MATCH($B294,'Credit Ledger'!$A$6:$A$45,0)),"** ID not found **"))</f>
        <v/>
      </c>
      <c r="D294" s="43"/>
      <c r="E294" s="44"/>
      <c r="F294" s="44"/>
    </row>
    <row r="295" customFormat="false" ht="15" hidden="false" customHeight="false" outlineLevel="0" collapsed="false">
      <c r="A295" s="40"/>
      <c r="B295" s="41"/>
      <c r="C295" s="42" t="str">
        <f aca="false">IF($B295="","",IFERROR(INDEX('Credit Ledger'!$B$6:$B$45,MATCH($B295,'Credit Ledger'!$A$6:$A$45,0)),"** ID not found **"))</f>
        <v/>
      </c>
      <c r="D295" s="43"/>
      <c r="E295" s="44"/>
      <c r="F295" s="44"/>
    </row>
    <row r="296" customFormat="false" ht="15" hidden="false" customHeight="false" outlineLevel="0" collapsed="false">
      <c r="A296" s="40"/>
      <c r="B296" s="41"/>
      <c r="C296" s="42" t="str">
        <f aca="false">IF($B296="","",IFERROR(INDEX('Credit Ledger'!$B$6:$B$45,MATCH($B296,'Credit Ledger'!$A$6:$A$45,0)),"** ID not found **"))</f>
        <v/>
      </c>
      <c r="D296" s="43"/>
      <c r="E296" s="44"/>
      <c r="F296" s="44"/>
    </row>
    <row r="297" customFormat="false" ht="15" hidden="false" customHeight="false" outlineLevel="0" collapsed="false">
      <c r="A297" s="40"/>
      <c r="B297" s="41"/>
      <c r="C297" s="42" t="str">
        <f aca="false">IF($B297="","",IFERROR(INDEX('Credit Ledger'!$B$6:$B$45,MATCH($B297,'Credit Ledger'!$A$6:$A$45,0)),"** ID not found **"))</f>
        <v/>
      </c>
      <c r="D297" s="43"/>
      <c r="E297" s="44"/>
      <c r="F297" s="44"/>
    </row>
    <row r="298" customFormat="false" ht="15" hidden="false" customHeight="false" outlineLevel="0" collapsed="false">
      <c r="A298" s="40"/>
      <c r="B298" s="41"/>
      <c r="C298" s="42" t="str">
        <f aca="false">IF($B298="","",IFERROR(INDEX('Credit Ledger'!$B$6:$B$45,MATCH($B298,'Credit Ledger'!$A$6:$A$45,0)),"** ID not found **"))</f>
        <v/>
      </c>
      <c r="D298" s="43"/>
      <c r="E298" s="44"/>
      <c r="F298" s="44"/>
    </row>
    <row r="299" customFormat="false" ht="15" hidden="false" customHeight="false" outlineLevel="0" collapsed="false">
      <c r="A299" s="40"/>
      <c r="B299" s="41"/>
      <c r="C299" s="42" t="str">
        <f aca="false">IF($B299="","",IFERROR(INDEX('Credit Ledger'!$B$6:$B$45,MATCH($B299,'Credit Ledger'!$A$6:$A$45,0)),"** ID not found **"))</f>
        <v/>
      </c>
      <c r="D299" s="43"/>
      <c r="E299" s="44"/>
      <c r="F299" s="44"/>
    </row>
    <row r="300" customFormat="false" ht="15" hidden="false" customHeight="false" outlineLevel="0" collapsed="false">
      <c r="A300" s="40"/>
      <c r="B300" s="41"/>
      <c r="C300" s="42" t="str">
        <f aca="false">IF($B300="","",IFERROR(INDEX('Credit Ledger'!$B$6:$B$45,MATCH($B300,'Credit Ledger'!$A$6:$A$45,0)),"** ID not found **"))</f>
        <v/>
      </c>
      <c r="D300" s="43"/>
      <c r="E300" s="44"/>
      <c r="F300" s="44"/>
    </row>
    <row r="301" customFormat="false" ht="15" hidden="false" customHeight="false" outlineLevel="0" collapsed="false">
      <c r="A301" s="40"/>
      <c r="B301" s="41"/>
      <c r="C301" s="42" t="str">
        <f aca="false">IF($B301="","",IFERROR(INDEX('Credit Ledger'!$B$6:$B$45,MATCH($B301,'Credit Ledger'!$A$6:$A$45,0)),"** ID not found **"))</f>
        <v/>
      </c>
      <c r="D301" s="43"/>
      <c r="E301" s="44"/>
      <c r="F301" s="44"/>
    </row>
    <row r="302" customFormat="false" ht="15" hidden="false" customHeight="false" outlineLevel="0" collapsed="false">
      <c r="A302" s="40"/>
      <c r="B302" s="41"/>
      <c r="C302" s="42" t="str">
        <f aca="false">IF($B302="","",IFERROR(INDEX('Credit Ledger'!$B$6:$B$45,MATCH($B302,'Credit Ledger'!$A$6:$A$45,0)),"** ID not found **"))</f>
        <v/>
      </c>
      <c r="D302" s="43"/>
      <c r="E302" s="44"/>
      <c r="F302" s="44"/>
    </row>
    <row r="303" customFormat="false" ht="15" hidden="false" customHeight="false" outlineLevel="0" collapsed="false">
      <c r="A303" s="40"/>
      <c r="B303" s="41"/>
      <c r="C303" s="42" t="str">
        <f aca="false">IF($B303="","",IFERROR(INDEX('Credit Ledger'!$B$6:$B$45,MATCH($B303,'Credit Ledger'!$A$6:$A$45,0)),"** ID not found **"))</f>
        <v/>
      </c>
      <c r="D303" s="43"/>
      <c r="E303" s="44"/>
      <c r="F303" s="44"/>
    </row>
    <row r="304" customFormat="false" ht="15" hidden="false" customHeight="false" outlineLevel="0" collapsed="false">
      <c r="A304" s="40"/>
      <c r="B304" s="41"/>
      <c r="C304" s="42" t="str">
        <f aca="false">IF($B304="","",IFERROR(INDEX('Credit Ledger'!$B$6:$B$45,MATCH($B304,'Credit Ledger'!$A$6:$A$45,0)),"** ID not found **"))</f>
        <v/>
      </c>
      <c r="D304" s="43"/>
      <c r="E304" s="44"/>
      <c r="F304" s="44"/>
    </row>
    <row r="305" customFormat="false" ht="15" hidden="false" customHeight="false" outlineLevel="0" collapsed="false">
      <c r="A305" s="40"/>
      <c r="B305" s="41"/>
      <c r="C305" s="42" t="str">
        <f aca="false">IF($B305="","",IFERROR(INDEX('Credit Ledger'!$B$6:$B$45,MATCH($B305,'Credit Ledger'!$A$6:$A$45,0)),"** ID not found **"))</f>
        <v/>
      </c>
      <c r="D305" s="43"/>
      <c r="E305" s="44"/>
      <c r="F305" s="44"/>
    </row>
    <row r="307" customFormat="false" ht="15" hidden="false" customHeight="false" outlineLevel="0" collapsed="false">
      <c r="A307" s="33"/>
      <c r="B307" s="33"/>
      <c r="C307" s="33" t="s">
        <v>73</v>
      </c>
      <c r="D307" s="35" t="n">
        <f aca="false">SUM(D6:D305)</f>
        <v>0</v>
      </c>
      <c r="E307" s="33"/>
      <c r="F307" s="33"/>
    </row>
  </sheetData>
  <mergeCells count="5">
    <mergeCell ref="A1:F1"/>
    <mergeCell ref="A2:F2"/>
    <mergeCell ref="A3:F3"/>
    <mergeCell ref="H5:M5"/>
    <mergeCell ref="H9:M10"/>
  </mergeCells>
  <dataValidations count="3">
    <dataValidation allowBlank="true" error="Enter a Ledger ID between 1 and 40, from column A of the Credit Ledger sheet." errorStyle="stop" errorTitle="Unknown Ledger ID" operator="between" showDropDown="false" showErrorMessage="true" showInputMessage="false" sqref="B6:B305" type="whole">
      <formula1>1</formula1>
      <formula2>40</formula2>
    </dataValidation>
    <dataValidation allowBlank="true" errorStyle="stop" operator="between" showDropDown="false" showErrorMessage="false" showInputMessage="false" sqref="E6:E305" type="list">
      <formula1>"CASH,GCASH,BANK TRANSFER,RICE RETURNED,OTHER"</formula1>
      <formula2>0</formula2>
    </dataValidation>
    <dataValidation allowBlank="true" error="Enter the amount received, greater than zero." errorStyle="stop" errorTitle="Amount must be positive" operator="greaterThan" showDropDown="false" showErrorMessage="true" showInputMessage="false" sqref="D6:D30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3" min="2" style="0" width="9"/>
    <col collapsed="false" customWidth="true" hidden="false" outlineLevel="0" max="4" min="4" style="0" width="18"/>
    <col collapsed="false" customWidth="true" hidden="false" outlineLevel="0" max="5" min="5" style="0" width="17"/>
    <col collapsed="false" customWidth="true" hidden="false" outlineLevel="0" max="6" min="6" style="0" width="18"/>
    <col collapsed="false" customWidth="true" hidden="false" outlineLevel="0" max="7" min="7" style="0" width="12"/>
  </cols>
  <sheetData>
    <row r="1" customFormat="false" ht="21.75" hidden="false" customHeight="true" outlineLevel="0" collapsed="false">
      <c r="A1" s="1" t="s">
        <v>74</v>
      </c>
      <c r="B1" s="1"/>
      <c r="C1" s="1"/>
      <c r="D1" s="1"/>
      <c r="E1" s="1"/>
      <c r="F1" s="1"/>
      <c r="G1" s="1"/>
    </row>
    <row r="2" customFormat="false" ht="15" hidden="false" customHeight="false" outlineLevel="0" collapsed="false">
      <c r="A2" s="2" t="s">
        <v>75</v>
      </c>
      <c r="B2" s="2"/>
      <c r="C2" s="2"/>
      <c r="D2" s="2"/>
      <c r="E2" s="2"/>
      <c r="F2" s="2"/>
      <c r="G2" s="2"/>
    </row>
    <row r="3" customFormat="false" ht="15.75" hidden="false" customHeight="true" outlineLevel="0" collapsed="false">
      <c r="A3" s="3" t="s">
        <v>76</v>
      </c>
      <c r="B3" s="3"/>
      <c r="C3" s="3"/>
      <c r="D3" s="3"/>
      <c r="E3" s="3"/>
      <c r="F3" s="3"/>
      <c r="G3" s="3"/>
    </row>
    <row r="5" customFormat="false" ht="30" hidden="false" customHeight="true" outlineLevel="0" collapsed="false">
      <c r="A5" s="4" t="s">
        <v>4</v>
      </c>
      <c r="B5" s="4" t="s">
        <v>77</v>
      </c>
      <c r="C5" s="4" t="s">
        <v>78</v>
      </c>
      <c r="D5" s="4" t="s">
        <v>79</v>
      </c>
      <c r="E5" s="4" t="s">
        <v>11</v>
      </c>
      <c r="F5" s="4" t="s">
        <v>12</v>
      </c>
      <c r="G5" s="4" t="s">
        <v>13</v>
      </c>
    </row>
    <row r="6" customFormat="false" ht="15" hidden="false" customHeight="false" outlineLevel="0" collapsed="false">
      <c r="A6" s="6" t="s">
        <v>49</v>
      </c>
      <c r="B6" s="5" t="n">
        <f aca="false">COUNTIF('Credit Ledger'!$B$6:$B$45,$A6)</f>
        <v>1</v>
      </c>
      <c r="C6" s="5" t="n">
        <f aca="false">SUMIF('Credit Ledger'!$B$6:$B$45,$A6,'Credit Ledger'!$F$6:$F$45)</f>
        <v>1</v>
      </c>
      <c r="D6" s="8" t="n">
        <f aca="false">SUMIF('Credit Ledger'!$B$6:$B$45,$A6,'Credit Ledger'!$H$6:$H$45)</f>
        <v>1450</v>
      </c>
      <c r="E6" s="8" t="n">
        <f aca="false">SUMIF('Credit Ledger'!$B$6:$B$45,$A6,'Credit Ledger'!$I$6:$I$45)</f>
        <v>0</v>
      </c>
      <c r="F6" s="8" t="n">
        <f aca="false">D6-E6</f>
        <v>1450</v>
      </c>
      <c r="G6" s="9" t="str">
        <f aca="false">IF(ROUND(F6,2)&lt;0,"OVERPAID",IF(ROUND(F6,2)=0,"PAID",IF(E6&gt;0,"PARTIAL","UNPAID")))</f>
        <v>UNPAID</v>
      </c>
    </row>
    <row r="7" customFormat="false" ht="15" hidden="false" customHeight="false" outlineLevel="0" collapsed="false">
      <c r="A7" s="13" t="s">
        <v>36</v>
      </c>
      <c r="B7" s="12" t="n">
        <f aca="false">COUNTIF('Credit Ledger'!$B$6:$B$45,$A7)</f>
        <v>2</v>
      </c>
      <c r="C7" s="12" t="n">
        <f aca="false">SUMIF('Credit Ledger'!$B$6:$B$45,$A7,'Credit Ledger'!$F$6:$F$45)</f>
        <v>2</v>
      </c>
      <c r="D7" s="15" t="n">
        <f aca="false">SUMIF('Credit Ledger'!$B$6:$B$45,$A7,'Credit Ledger'!$H$6:$H$45)</f>
        <v>2850</v>
      </c>
      <c r="E7" s="15" t="n">
        <f aca="false">SUMIF('Credit Ledger'!$B$6:$B$45,$A7,'Credit Ledger'!$I$6:$I$45)</f>
        <v>0</v>
      </c>
      <c r="F7" s="15" t="n">
        <f aca="false">D7-E7</f>
        <v>2850</v>
      </c>
      <c r="G7" s="16" t="str">
        <f aca="false">IF(ROUND(F7,2)&lt;0,"OVERPAID",IF(ROUND(F7,2)=0,"PAID",IF(E7&gt;0,"PARTIAL","UNPAID")))</f>
        <v>UNPAID</v>
      </c>
    </row>
    <row r="8" customFormat="false" ht="15" hidden="false" customHeight="false" outlineLevel="0" collapsed="false">
      <c r="A8" s="6" t="s">
        <v>37</v>
      </c>
      <c r="B8" s="5" t="n">
        <f aca="false">COUNTIF('Credit Ledger'!$B$6:$B$45,$A8)</f>
        <v>1</v>
      </c>
      <c r="C8" s="5" t="n">
        <f aca="false">SUMIF('Credit Ledger'!$B$6:$B$45,$A8,'Credit Ledger'!$F$6:$F$45)</f>
        <v>1</v>
      </c>
      <c r="D8" s="8" t="n">
        <f aca="false">SUMIF('Credit Ledger'!$B$6:$B$45,$A8,'Credit Ledger'!$H$6:$H$45)</f>
        <v>2500</v>
      </c>
      <c r="E8" s="8" t="n">
        <f aca="false">SUMIF('Credit Ledger'!$B$6:$B$45,$A8,'Credit Ledger'!$I$6:$I$45)</f>
        <v>0</v>
      </c>
      <c r="F8" s="8" t="n">
        <f aca="false">D8-E8</f>
        <v>2500</v>
      </c>
      <c r="G8" s="9" t="str">
        <f aca="false">IF(ROUND(F8,2)&lt;0,"OVERPAID",IF(ROUND(F8,2)=0,"PAID",IF(E8&gt;0,"PARTIAL","UNPAID")))</f>
        <v>UNPAID</v>
      </c>
    </row>
    <row r="9" customFormat="false" ht="15" hidden="false" customHeight="false" outlineLevel="0" collapsed="false">
      <c r="A9" s="13" t="s">
        <v>18</v>
      </c>
      <c r="B9" s="12" t="n">
        <f aca="false">COUNTIF('Credit Ledger'!$B$6:$B$45,$A9)</f>
        <v>1</v>
      </c>
      <c r="C9" s="12" t="n">
        <f aca="false">SUMIF('Credit Ledger'!$B$6:$B$45,$A9,'Credit Ledger'!$F$6:$F$45)</f>
        <v>1</v>
      </c>
      <c r="D9" s="15" t="n">
        <f aca="false">SUMIF('Credit Ledger'!$B$6:$B$45,$A9,'Credit Ledger'!$H$6:$H$45)</f>
        <v>2800</v>
      </c>
      <c r="E9" s="15" t="n">
        <f aca="false">SUMIF('Credit Ledger'!$B$6:$B$45,$A9,'Credit Ledger'!$I$6:$I$45)</f>
        <v>0</v>
      </c>
      <c r="F9" s="15" t="n">
        <f aca="false">D9-E9</f>
        <v>2800</v>
      </c>
      <c r="G9" s="16" t="str">
        <f aca="false">IF(ROUND(F9,2)&lt;0,"OVERPAID",IF(ROUND(F9,2)=0,"PAID",IF(E9&gt;0,"PARTIAL","UNPAID")))</f>
        <v>UNPAID</v>
      </c>
    </row>
    <row r="10" customFormat="false" ht="15" hidden="false" customHeight="false" outlineLevel="0" collapsed="false">
      <c r="A10" s="6" t="s">
        <v>30</v>
      </c>
      <c r="B10" s="5" t="n">
        <f aca="false">COUNTIF('Credit Ledger'!$B$6:$B$45,$A10)</f>
        <v>2</v>
      </c>
      <c r="C10" s="5" t="n">
        <f aca="false">SUMIF('Credit Ledger'!$B$6:$B$45,$A10,'Credit Ledger'!$F$6:$F$45)</f>
        <v>2</v>
      </c>
      <c r="D10" s="8" t="n">
        <f aca="false">SUMIF('Credit Ledger'!$B$6:$B$45,$A10,'Credit Ledger'!$H$6:$H$45)</f>
        <v>2850</v>
      </c>
      <c r="E10" s="8" t="n">
        <f aca="false">SUMIF('Credit Ledger'!$B$6:$B$45,$A10,'Credit Ledger'!$I$6:$I$45)</f>
        <v>0</v>
      </c>
      <c r="F10" s="8" t="n">
        <f aca="false">D10-E10</f>
        <v>2850</v>
      </c>
      <c r="G10" s="9" t="str">
        <f aca="false">IF(ROUND(F10,2)&lt;0,"OVERPAID",IF(ROUND(F10,2)=0,"PAID",IF(E10&gt;0,"PARTIAL","UNPAID")))</f>
        <v>UNPAID</v>
      </c>
    </row>
    <row r="11" customFormat="false" ht="15" hidden="false" customHeight="false" outlineLevel="0" collapsed="false">
      <c r="A11" s="13" t="s">
        <v>42</v>
      </c>
      <c r="B11" s="12" t="n">
        <f aca="false">COUNTIF('Credit Ledger'!$B$6:$B$45,$A11)</f>
        <v>1</v>
      </c>
      <c r="C11" s="12" t="n">
        <f aca="false">SUMIF('Credit Ledger'!$B$6:$B$45,$A11,'Credit Ledger'!$F$6:$F$45)</f>
        <v>5</v>
      </c>
      <c r="D11" s="15" t="n">
        <f aca="false">SUMIF('Credit Ledger'!$B$6:$B$45,$A11,'Credit Ledger'!$H$6:$H$45)</f>
        <v>13000</v>
      </c>
      <c r="E11" s="15" t="n">
        <f aca="false">SUMIF('Credit Ledger'!$B$6:$B$45,$A11,'Credit Ledger'!$I$6:$I$45)</f>
        <v>0</v>
      </c>
      <c r="F11" s="15" t="n">
        <f aca="false">D11-E11</f>
        <v>13000</v>
      </c>
      <c r="G11" s="16" t="str">
        <f aca="false">IF(ROUND(F11,2)&lt;0,"OVERPAID",IF(ROUND(F11,2)=0,"PAID",IF(E11&gt;0,"PARTIAL","UNPAID")))</f>
        <v>UNPAID</v>
      </c>
    </row>
    <row r="12" customFormat="false" ht="15" hidden="false" customHeight="false" outlineLevel="0" collapsed="false">
      <c r="A12" s="6" t="s">
        <v>46</v>
      </c>
      <c r="B12" s="5" t="n">
        <f aca="false">COUNTIF('Credit Ledger'!$B$6:$B$45,$A12)</f>
        <v>2</v>
      </c>
      <c r="C12" s="5" t="n">
        <f aca="false">SUMIF('Credit Ledger'!$B$6:$B$45,$A12,'Credit Ledger'!$F$6:$F$45)</f>
        <v>20</v>
      </c>
      <c r="D12" s="8" t="n">
        <f aca="false">SUMIF('Credit Ledger'!$B$6:$B$45,$A12,'Credit Ledger'!$H$6:$H$45)</f>
        <v>26000</v>
      </c>
      <c r="E12" s="8" t="n">
        <f aca="false">SUMIF('Credit Ledger'!$B$6:$B$45,$A12,'Credit Ledger'!$I$6:$I$45)</f>
        <v>0</v>
      </c>
      <c r="F12" s="8" t="n">
        <f aca="false">D12-E12</f>
        <v>26000</v>
      </c>
      <c r="G12" s="9" t="str">
        <f aca="false">IF(ROUND(F12,2)&lt;0,"OVERPAID",IF(ROUND(F12,2)=0,"PAID",IF(E12&gt;0,"PARTIAL","UNPAID")))</f>
        <v>UNPAID</v>
      </c>
    </row>
    <row r="13" customFormat="false" ht="15" hidden="false" customHeight="false" outlineLevel="0" collapsed="false">
      <c r="A13" s="13" t="s">
        <v>34</v>
      </c>
      <c r="B13" s="12" t="n">
        <f aca="false">COUNTIF('Credit Ledger'!$B$6:$B$45,$A13)</f>
        <v>1</v>
      </c>
      <c r="C13" s="12" t="n">
        <f aca="false">SUMIF('Credit Ledger'!$B$6:$B$45,$A13,'Credit Ledger'!$F$6:$F$45)</f>
        <v>1</v>
      </c>
      <c r="D13" s="15" t="n">
        <f aca="false">SUMIF('Credit Ledger'!$B$6:$B$45,$A13,'Credit Ledger'!$H$6:$H$45)</f>
        <v>1350</v>
      </c>
      <c r="E13" s="15" t="n">
        <f aca="false">SUMIF('Credit Ledger'!$B$6:$B$45,$A13,'Credit Ledger'!$I$6:$I$45)</f>
        <v>0</v>
      </c>
      <c r="F13" s="15" t="n">
        <f aca="false">D13-E13</f>
        <v>1350</v>
      </c>
      <c r="G13" s="16" t="str">
        <f aca="false">IF(ROUND(F13,2)&lt;0,"OVERPAID",IF(ROUND(F13,2)=0,"PAID",IF(E13&gt;0,"PARTIAL","UNPAID")))</f>
        <v>UNPAID</v>
      </c>
    </row>
    <row r="14" customFormat="false" ht="15" hidden="false" customHeight="false" outlineLevel="0" collapsed="false">
      <c r="A14" s="6" t="s">
        <v>31</v>
      </c>
      <c r="B14" s="5" t="n">
        <f aca="false">COUNTIF('Credit Ledger'!$B$6:$B$45,$A14)</f>
        <v>1</v>
      </c>
      <c r="C14" s="5" t="n">
        <f aca="false">SUMIF('Credit Ledger'!$B$6:$B$45,$A14,'Credit Ledger'!$F$6:$F$45)</f>
        <v>1</v>
      </c>
      <c r="D14" s="8" t="n">
        <f aca="false">SUMIF('Credit Ledger'!$B$6:$B$45,$A14,'Credit Ledger'!$H$6:$H$45)</f>
        <v>1400</v>
      </c>
      <c r="E14" s="8" t="n">
        <f aca="false">SUMIF('Credit Ledger'!$B$6:$B$45,$A14,'Credit Ledger'!$I$6:$I$45)</f>
        <v>0</v>
      </c>
      <c r="F14" s="8" t="n">
        <f aca="false">D14-E14</f>
        <v>1400</v>
      </c>
      <c r="G14" s="9" t="str">
        <f aca="false">IF(ROUND(F14,2)&lt;0,"OVERPAID",IF(ROUND(F14,2)=0,"PAID",IF(E14&gt;0,"PARTIAL","UNPAID")))</f>
        <v>UNPAID</v>
      </c>
    </row>
    <row r="15" customFormat="false" ht="15" hidden="false" customHeight="false" outlineLevel="0" collapsed="false">
      <c r="A15" s="13" t="s">
        <v>23</v>
      </c>
      <c r="B15" s="12" t="n">
        <f aca="false">COUNTIF('Credit Ledger'!$B$6:$B$45,$A15)</f>
        <v>2</v>
      </c>
      <c r="C15" s="12" t="n">
        <f aca="false">SUMIF('Credit Ledger'!$B$6:$B$45,$A15,'Credit Ledger'!$F$6:$F$45)</f>
        <v>4</v>
      </c>
      <c r="D15" s="15" t="n">
        <f aca="false">SUMIF('Credit Ledger'!$B$6:$B$45,$A15,'Credit Ledger'!$H$6:$H$45)</f>
        <v>8400</v>
      </c>
      <c r="E15" s="15" t="n">
        <f aca="false">SUMIF('Credit Ledger'!$B$6:$B$45,$A15,'Credit Ledger'!$I$6:$I$45)</f>
        <v>0</v>
      </c>
      <c r="F15" s="15" t="n">
        <f aca="false">D15-E15</f>
        <v>8400</v>
      </c>
      <c r="G15" s="16" t="str">
        <f aca="false">IF(ROUND(F15,2)&lt;0,"OVERPAID",IF(ROUND(F15,2)=0,"PAID",IF(E15&gt;0,"PARTIAL","UNPAID")))</f>
        <v>UNPAID</v>
      </c>
    </row>
    <row r="16" customFormat="false" ht="15" hidden="false" customHeight="false" outlineLevel="0" collapsed="false">
      <c r="A16" s="6" t="s">
        <v>21</v>
      </c>
      <c r="B16" s="5" t="n">
        <f aca="false">COUNTIF('Credit Ledger'!$B$6:$B$45,$A16)</f>
        <v>3</v>
      </c>
      <c r="C16" s="5" t="n">
        <f aca="false">SUMIF('Credit Ledger'!$B$6:$B$45,$A16,'Credit Ledger'!$F$6:$F$45)</f>
        <v>3</v>
      </c>
      <c r="D16" s="8" t="n">
        <f aca="false">SUMIF('Credit Ledger'!$B$6:$B$45,$A16,'Credit Ledger'!$H$6:$H$45)</f>
        <v>4250</v>
      </c>
      <c r="E16" s="8" t="n">
        <f aca="false">SUMIF('Credit Ledger'!$B$6:$B$45,$A16,'Credit Ledger'!$I$6:$I$45)</f>
        <v>0</v>
      </c>
      <c r="F16" s="8" t="n">
        <f aca="false">D16-E16</f>
        <v>4250</v>
      </c>
      <c r="G16" s="9" t="str">
        <f aca="false">IF(ROUND(F16,2)&lt;0,"OVERPAID",IF(ROUND(F16,2)=0,"PAID",IF(E16&gt;0,"PARTIAL","UNPAID")))</f>
        <v>UNPAID</v>
      </c>
    </row>
    <row r="17" customFormat="false" ht="15" hidden="false" customHeight="false" outlineLevel="0" collapsed="false">
      <c r="A17" s="13" t="s">
        <v>29</v>
      </c>
      <c r="B17" s="12" t="n">
        <f aca="false">COUNTIF('Credit Ledger'!$B$6:$B$45,$A17)</f>
        <v>2</v>
      </c>
      <c r="C17" s="12" t="n">
        <f aca="false">SUMIF('Credit Ledger'!$B$6:$B$45,$A17,'Credit Ledger'!$F$6:$F$45)</f>
        <v>2</v>
      </c>
      <c r="D17" s="15" t="n">
        <f aca="false">SUMIF('Credit Ledger'!$B$6:$B$45,$A17,'Credit Ledger'!$H$6:$H$45)</f>
        <v>2850</v>
      </c>
      <c r="E17" s="15" t="n">
        <f aca="false">SUMIF('Credit Ledger'!$B$6:$B$45,$A17,'Credit Ledger'!$I$6:$I$45)</f>
        <v>0</v>
      </c>
      <c r="F17" s="15" t="n">
        <f aca="false">D17-E17</f>
        <v>2850</v>
      </c>
      <c r="G17" s="16" t="str">
        <f aca="false">IF(ROUND(F17,2)&lt;0,"OVERPAID",IF(ROUND(F17,2)=0,"PAID",IF(E17&gt;0,"PARTIAL","UNPAID")))</f>
        <v>UNPAID</v>
      </c>
    </row>
    <row r="18" customFormat="false" ht="15" hidden="false" customHeight="false" outlineLevel="0" collapsed="false">
      <c r="A18" s="6" t="s">
        <v>44</v>
      </c>
      <c r="B18" s="5" t="n">
        <f aca="false">COUNTIF('Credit Ledger'!$B$6:$B$45,$A18)</f>
        <v>2</v>
      </c>
      <c r="C18" s="5" t="n">
        <f aca="false">SUMIF('Credit Ledger'!$B$6:$B$45,$A18,'Credit Ledger'!$F$6:$F$45)</f>
        <v>2</v>
      </c>
      <c r="D18" s="8" t="n">
        <f aca="false">SUMIF('Credit Ledger'!$B$6:$B$45,$A18,'Credit Ledger'!$H$6:$H$45)</f>
        <v>2850</v>
      </c>
      <c r="E18" s="8" t="n">
        <f aca="false">SUMIF('Credit Ledger'!$B$6:$B$45,$A18,'Credit Ledger'!$I$6:$I$45)</f>
        <v>0</v>
      </c>
      <c r="F18" s="8" t="n">
        <f aca="false">D18-E18</f>
        <v>2850</v>
      </c>
      <c r="G18" s="9" t="str">
        <f aca="false">IF(ROUND(F18,2)&lt;0,"OVERPAID",IF(ROUND(F18,2)=0,"PAID",IF(E18&gt;0,"PARTIAL","UNPAID")))</f>
        <v>UNPAID</v>
      </c>
    </row>
    <row r="19" customFormat="false" ht="15" hidden="false" customHeight="false" outlineLevel="0" collapsed="false">
      <c r="A19" s="13" t="s">
        <v>22</v>
      </c>
      <c r="B19" s="12" t="n">
        <f aca="false">COUNTIF('Credit Ledger'!$B$6:$B$45,$A19)</f>
        <v>1</v>
      </c>
      <c r="C19" s="12" t="n">
        <f aca="false">SUMIF('Credit Ledger'!$B$6:$B$45,$A19,'Credit Ledger'!$F$6:$F$45)</f>
        <v>1</v>
      </c>
      <c r="D19" s="15" t="n">
        <f aca="false">SUMIF('Credit Ledger'!$B$6:$B$45,$A19,'Credit Ledger'!$H$6:$H$45)</f>
        <v>1400</v>
      </c>
      <c r="E19" s="15" t="n">
        <f aca="false">SUMIF('Credit Ledger'!$B$6:$B$45,$A19,'Credit Ledger'!$I$6:$I$45)</f>
        <v>0</v>
      </c>
      <c r="F19" s="15" t="n">
        <f aca="false">D19-E19</f>
        <v>1400</v>
      </c>
      <c r="G19" s="16" t="str">
        <f aca="false">IF(ROUND(F19,2)&lt;0,"OVERPAID",IF(ROUND(F19,2)=0,"PAID",IF(E19&gt;0,"PARTIAL","UNPAID")))</f>
        <v>UNPAID</v>
      </c>
    </row>
    <row r="20" customFormat="false" ht="15" hidden="false" customHeight="false" outlineLevel="0" collapsed="false">
      <c r="A20" s="6" t="s">
        <v>24</v>
      </c>
      <c r="B20" s="5" t="n">
        <f aca="false">COUNTIF('Credit Ledger'!$B$6:$B$45,$A20)</f>
        <v>1</v>
      </c>
      <c r="C20" s="5" t="n">
        <f aca="false">SUMIF('Credit Ledger'!$B$6:$B$45,$A20,'Credit Ledger'!$F$6:$F$45)</f>
        <v>1</v>
      </c>
      <c r="D20" s="8" t="n">
        <f aca="false">SUMIF('Credit Ledger'!$B$6:$B$45,$A20,'Credit Ledger'!$H$6:$H$45)</f>
        <v>1400</v>
      </c>
      <c r="E20" s="8" t="n">
        <f aca="false">SUMIF('Credit Ledger'!$B$6:$B$45,$A20,'Credit Ledger'!$I$6:$I$45)</f>
        <v>0</v>
      </c>
      <c r="F20" s="8" t="n">
        <f aca="false">D20-E20</f>
        <v>1400</v>
      </c>
      <c r="G20" s="9" t="str">
        <f aca="false">IF(ROUND(F20,2)&lt;0,"OVERPAID",IF(ROUND(F20,2)=0,"PAID",IF(E20&gt;0,"PARTIAL","UNPAID")))</f>
        <v>UNPAID</v>
      </c>
    </row>
    <row r="21" customFormat="false" ht="15" hidden="false" customHeight="false" outlineLevel="0" collapsed="false">
      <c r="A21" s="13" t="s">
        <v>45</v>
      </c>
      <c r="B21" s="12" t="n">
        <f aca="false">COUNTIF('Credit Ledger'!$B$6:$B$45,$A21)</f>
        <v>1</v>
      </c>
      <c r="C21" s="12" t="n">
        <f aca="false">SUMIF('Credit Ledger'!$B$6:$B$45,$A21,'Credit Ledger'!$F$6:$F$45)</f>
        <v>1</v>
      </c>
      <c r="D21" s="15" t="n">
        <f aca="false">SUMIF('Credit Ledger'!$B$6:$B$45,$A21,'Credit Ledger'!$H$6:$H$45)</f>
        <v>1400</v>
      </c>
      <c r="E21" s="15" t="n">
        <f aca="false">SUMIF('Credit Ledger'!$B$6:$B$45,$A21,'Credit Ledger'!$I$6:$I$45)</f>
        <v>0</v>
      </c>
      <c r="F21" s="15" t="n">
        <f aca="false">D21-E21</f>
        <v>1400</v>
      </c>
      <c r="G21" s="16" t="str">
        <f aca="false">IF(ROUND(F21,2)&lt;0,"OVERPAID",IF(ROUND(F21,2)=0,"PAID",IF(E21&gt;0,"PARTIAL","UNPAID")))</f>
        <v>UNPAID</v>
      </c>
    </row>
    <row r="22" customFormat="false" ht="15" hidden="false" customHeight="false" outlineLevel="0" collapsed="false">
      <c r="A22" s="6" t="s">
        <v>41</v>
      </c>
      <c r="B22" s="5" t="n">
        <f aca="false">COUNTIF('Credit Ledger'!$B$6:$B$45,$A22)</f>
        <v>1</v>
      </c>
      <c r="C22" s="5" t="n">
        <f aca="false">SUMIF('Credit Ledger'!$B$6:$B$45,$A22,'Credit Ledger'!$F$6:$F$45)</f>
        <v>1</v>
      </c>
      <c r="D22" s="8" t="n">
        <f aca="false">SUMIF('Credit Ledger'!$B$6:$B$45,$A22,'Credit Ledger'!$H$6:$H$45)</f>
        <v>1400</v>
      </c>
      <c r="E22" s="8" t="n">
        <f aca="false">SUMIF('Credit Ledger'!$B$6:$B$45,$A22,'Credit Ledger'!$I$6:$I$45)</f>
        <v>0</v>
      </c>
      <c r="F22" s="8" t="n">
        <f aca="false">D22-E22</f>
        <v>1400</v>
      </c>
      <c r="G22" s="9" t="str">
        <f aca="false">IF(ROUND(F22,2)&lt;0,"OVERPAID",IF(ROUND(F22,2)=0,"PAID",IF(E22&gt;0,"PARTIAL","UNPAID")))</f>
        <v>UNPAID</v>
      </c>
    </row>
    <row r="23" customFormat="false" ht="15" hidden="false" customHeight="false" outlineLevel="0" collapsed="false">
      <c r="A23" s="13" t="s">
        <v>33</v>
      </c>
      <c r="B23" s="12" t="n">
        <f aca="false">COUNTIF('Credit Ledger'!$B$6:$B$45,$A23)</f>
        <v>2</v>
      </c>
      <c r="C23" s="12" t="n">
        <f aca="false">SUMIF('Credit Ledger'!$B$6:$B$45,$A23,'Credit Ledger'!$F$6:$F$45)</f>
        <v>2</v>
      </c>
      <c r="D23" s="15" t="n">
        <f aca="false">SUMIF('Credit Ledger'!$B$6:$B$45,$A23,'Credit Ledger'!$H$6:$H$45)</f>
        <v>4250</v>
      </c>
      <c r="E23" s="15" t="n">
        <f aca="false">SUMIF('Credit Ledger'!$B$6:$B$45,$A23,'Credit Ledger'!$I$6:$I$45)</f>
        <v>0</v>
      </c>
      <c r="F23" s="15" t="n">
        <f aca="false">D23-E23</f>
        <v>4250</v>
      </c>
      <c r="G23" s="16" t="str">
        <f aca="false">IF(ROUND(F23,2)&lt;0,"OVERPAID",IF(ROUND(F23,2)=0,"PAID",IF(E23&gt;0,"PARTIAL","UNPAID")))</f>
        <v>UNPAID</v>
      </c>
    </row>
    <row r="24" customFormat="false" ht="15" hidden="false" customHeight="false" outlineLevel="0" collapsed="false">
      <c r="A24" s="6" t="s">
        <v>16</v>
      </c>
      <c r="B24" s="5" t="n">
        <f aca="false">COUNTIF('Credit Ledger'!$B$6:$B$45,$A24)</f>
        <v>1</v>
      </c>
      <c r="C24" s="5" t="n">
        <f aca="false">SUMIF('Credit Ledger'!$B$6:$B$45,$A24,'Credit Ledger'!$F$6:$F$45)</f>
        <v>1</v>
      </c>
      <c r="D24" s="8" t="n">
        <f aca="false">SUMIF('Credit Ledger'!$B$6:$B$45,$A24,'Credit Ledger'!$H$6:$H$45)</f>
        <v>2800</v>
      </c>
      <c r="E24" s="8" t="n">
        <f aca="false">SUMIF('Credit Ledger'!$B$6:$B$45,$A24,'Credit Ledger'!$I$6:$I$45)</f>
        <v>0</v>
      </c>
      <c r="F24" s="8" t="n">
        <f aca="false">D24-E24</f>
        <v>2800</v>
      </c>
      <c r="G24" s="9" t="str">
        <f aca="false">IF(ROUND(F24,2)&lt;0,"OVERPAID",IF(ROUND(F24,2)=0,"PAID",IF(E24&gt;0,"PARTIAL","UNPAID")))</f>
        <v>UNPAID</v>
      </c>
    </row>
    <row r="25" customFormat="false" ht="15" hidden="false" customHeight="false" outlineLevel="0" collapsed="false">
      <c r="A25" s="13" t="s">
        <v>19</v>
      </c>
      <c r="B25" s="12" t="n">
        <f aca="false">COUNTIF('Credit Ledger'!$B$6:$B$45,$A25)</f>
        <v>1</v>
      </c>
      <c r="C25" s="12" t="n">
        <f aca="false">SUMIF('Credit Ledger'!$B$6:$B$45,$A25,'Credit Ledger'!$F$6:$F$45)</f>
        <v>2</v>
      </c>
      <c r="D25" s="15" t="n">
        <f aca="false">SUMIF('Credit Ledger'!$B$6:$B$45,$A25,'Credit Ledger'!$H$6:$H$45)</f>
        <v>2800</v>
      </c>
      <c r="E25" s="15" t="n">
        <f aca="false">SUMIF('Credit Ledger'!$B$6:$B$45,$A25,'Credit Ledger'!$I$6:$I$45)</f>
        <v>0</v>
      </c>
      <c r="F25" s="15" t="n">
        <f aca="false">D25-E25</f>
        <v>2800</v>
      </c>
      <c r="G25" s="16" t="str">
        <f aca="false">IF(ROUND(F25,2)&lt;0,"OVERPAID",IF(ROUND(F25,2)=0,"PAID",IF(E25&gt;0,"PARTIAL","UNPAID")))</f>
        <v>UNPAID</v>
      </c>
    </row>
    <row r="26" customFormat="false" ht="15" hidden="false" customHeight="false" outlineLevel="0" collapsed="false">
      <c r="A26" s="6" t="s">
        <v>32</v>
      </c>
      <c r="B26" s="5" t="n">
        <f aca="false">COUNTIF('Credit Ledger'!$B$6:$B$45,$A26)</f>
        <v>1</v>
      </c>
      <c r="C26" s="5" t="n">
        <f aca="false">SUMIF('Credit Ledger'!$B$6:$B$45,$A26,'Credit Ledger'!$F$6:$F$45)</f>
        <v>1</v>
      </c>
      <c r="D26" s="8" t="n">
        <f aca="false">SUMIF('Credit Ledger'!$B$6:$B$45,$A26,'Credit Ledger'!$H$6:$H$45)</f>
        <v>1400</v>
      </c>
      <c r="E26" s="8" t="n">
        <f aca="false">SUMIF('Credit Ledger'!$B$6:$B$45,$A26,'Credit Ledger'!$I$6:$I$45)</f>
        <v>0</v>
      </c>
      <c r="F26" s="8" t="n">
        <f aca="false">D26-E26</f>
        <v>1400</v>
      </c>
      <c r="G26" s="9" t="str">
        <f aca="false">IF(ROUND(F26,2)&lt;0,"OVERPAID",IF(ROUND(F26,2)=0,"PAID",IF(E26&gt;0,"PARTIAL","UNPAID")))</f>
        <v>UNPAID</v>
      </c>
    </row>
    <row r="27" customFormat="false" ht="15" hidden="false" customHeight="false" outlineLevel="0" collapsed="false">
      <c r="A27" s="13" t="s">
        <v>43</v>
      </c>
      <c r="B27" s="12" t="n">
        <f aca="false">COUNTIF('Credit Ledger'!$B$6:$B$45,$A27)</f>
        <v>1</v>
      </c>
      <c r="C27" s="12" t="n">
        <f aca="false">SUMIF('Credit Ledger'!$B$6:$B$45,$A27,'Credit Ledger'!$F$6:$F$45)</f>
        <v>1</v>
      </c>
      <c r="D27" s="15" t="n">
        <f aca="false">SUMIF('Credit Ledger'!$B$6:$B$45,$A27,'Credit Ledger'!$H$6:$H$45)</f>
        <v>1200</v>
      </c>
      <c r="E27" s="15" t="n">
        <f aca="false">SUMIF('Credit Ledger'!$B$6:$B$45,$A27,'Credit Ledger'!$I$6:$I$45)</f>
        <v>0</v>
      </c>
      <c r="F27" s="15" t="n">
        <f aca="false">D27-E27</f>
        <v>1200</v>
      </c>
      <c r="G27" s="16" t="str">
        <f aca="false">IF(ROUND(F27,2)&lt;0,"OVERPAID",IF(ROUND(F27,2)=0,"PAID",IF(E27&gt;0,"PARTIAL","UNPAID")))</f>
        <v>UNPAID</v>
      </c>
    </row>
    <row r="28" customFormat="false" ht="15" hidden="false" customHeight="false" outlineLevel="0" collapsed="false">
      <c r="A28" s="6" t="s">
        <v>27</v>
      </c>
      <c r="B28" s="5" t="n">
        <f aca="false">COUNTIF('Credit Ledger'!$B$6:$B$45,$A28)</f>
        <v>2</v>
      </c>
      <c r="C28" s="5" t="n">
        <f aca="false">SUMIF('Credit Ledger'!$B$6:$B$45,$A28,'Credit Ledger'!$F$6:$F$45)</f>
        <v>2</v>
      </c>
      <c r="D28" s="8" t="n">
        <f aca="false">SUMIF('Credit Ledger'!$B$6:$B$45,$A28,'Credit Ledger'!$H$6:$H$45)</f>
        <v>4250</v>
      </c>
      <c r="E28" s="8" t="n">
        <f aca="false">SUMIF('Credit Ledger'!$B$6:$B$45,$A28,'Credit Ledger'!$I$6:$I$45)</f>
        <v>0</v>
      </c>
      <c r="F28" s="8" t="n">
        <f aca="false">D28-E28</f>
        <v>4250</v>
      </c>
      <c r="G28" s="9" t="str">
        <f aca="false">IF(ROUND(F28,2)&lt;0,"OVERPAID",IF(ROUND(F28,2)=0,"PAID",IF(E28&gt;0,"PARTIAL","UNPAID")))</f>
        <v>UNPAID</v>
      </c>
    </row>
    <row r="29" customFormat="false" ht="15" hidden="false" customHeight="false" outlineLevel="0" collapsed="false">
      <c r="A29" s="13" t="s">
        <v>38</v>
      </c>
      <c r="B29" s="12" t="n">
        <f aca="false">COUNTIF('Credit Ledger'!$B$6:$B$45,$A29)</f>
        <v>1</v>
      </c>
      <c r="C29" s="12" t="n">
        <f aca="false">SUMIF('Credit Ledger'!$B$6:$B$45,$A29,'Credit Ledger'!$F$6:$F$45)</f>
        <v>1</v>
      </c>
      <c r="D29" s="15" t="n">
        <f aca="false">SUMIF('Credit Ledger'!$B$6:$B$45,$A29,'Credit Ledger'!$H$6:$H$45)</f>
        <v>1400</v>
      </c>
      <c r="E29" s="15" t="n">
        <f aca="false">SUMIF('Credit Ledger'!$B$6:$B$45,$A29,'Credit Ledger'!$I$6:$I$45)</f>
        <v>0</v>
      </c>
      <c r="F29" s="15" t="n">
        <f aca="false">D29-E29</f>
        <v>1400</v>
      </c>
      <c r="G29" s="16" t="str">
        <f aca="false">IF(ROUND(F29,2)&lt;0,"OVERPAID",IF(ROUND(F29,2)=0,"PAID",IF(E29&gt;0,"PARTIAL","UNPAID")))</f>
        <v>UNPAID</v>
      </c>
    </row>
    <row r="30" customFormat="false" ht="15" hidden="false" customHeight="false" outlineLevel="0" collapsed="false">
      <c r="A30" s="6" t="s">
        <v>28</v>
      </c>
      <c r="B30" s="5" t="n">
        <f aca="false">COUNTIF('Credit Ledger'!$B$6:$B$45,$A30)</f>
        <v>2</v>
      </c>
      <c r="C30" s="5" t="n">
        <f aca="false">SUMIF('Credit Ledger'!$B$6:$B$45,$A30,'Credit Ledger'!$F$6:$F$45)</f>
        <v>2</v>
      </c>
      <c r="D30" s="8" t="n">
        <f aca="false">SUMIF('Credit Ledger'!$B$6:$B$45,$A30,'Credit Ledger'!$H$6:$H$45)</f>
        <v>2850</v>
      </c>
      <c r="E30" s="8" t="n">
        <f aca="false">SUMIF('Credit Ledger'!$B$6:$B$45,$A30,'Credit Ledger'!$I$6:$I$45)</f>
        <v>0</v>
      </c>
      <c r="F30" s="8" t="n">
        <f aca="false">D30-E30</f>
        <v>2850</v>
      </c>
      <c r="G30" s="9" t="str">
        <f aca="false">IF(ROUND(F30,2)&lt;0,"OVERPAID",IF(ROUND(F30,2)=0,"PAID",IF(E30&gt;0,"PARTIAL","UNPAID")))</f>
        <v>UNPAID</v>
      </c>
    </row>
    <row r="31" customFormat="false" ht="15" hidden="false" customHeight="false" outlineLevel="0" collapsed="false">
      <c r="A31" s="13" t="s">
        <v>47</v>
      </c>
      <c r="B31" s="12" t="n">
        <f aca="false">COUNTIF('Credit Ledger'!$B$6:$B$45,$A31)</f>
        <v>1</v>
      </c>
      <c r="C31" s="12" t="n">
        <f aca="false">SUMIF('Credit Ledger'!$B$6:$B$45,$A31,'Credit Ledger'!$F$6:$F$45)</f>
        <v>2</v>
      </c>
      <c r="D31" s="15" t="n">
        <f aca="false">SUMIF('Credit Ledger'!$B$6:$B$45,$A31,'Credit Ledger'!$H$6:$H$45)</f>
        <v>2900</v>
      </c>
      <c r="E31" s="15" t="n">
        <f aca="false">SUMIF('Credit Ledger'!$B$6:$B$45,$A31,'Credit Ledger'!$I$6:$I$45)</f>
        <v>0</v>
      </c>
      <c r="F31" s="15" t="n">
        <f aca="false">D31-E31</f>
        <v>2900</v>
      </c>
      <c r="G31" s="16" t="str">
        <f aca="false">IF(ROUND(F31,2)&lt;0,"OVERPAID",IF(ROUND(F31,2)=0,"PAID",IF(E31&gt;0,"PARTIAL","UNPAID")))</f>
        <v>UNPAID</v>
      </c>
    </row>
    <row r="32" customFormat="false" ht="15" hidden="false" customHeight="false" outlineLevel="0" collapsed="false">
      <c r="A32" s="6" t="s">
        <v>35</v>
      </c>
      <c r="B32" s="5" t="n">
        <f aca="false">COUNTIF('Credit Ledger'!$B$6:$B$45,$A32)</f>
        <v>1</v>
      </c>
      <c r="C32" s="5" t="n">
        <f aca="false">SUMIF('Credit Ledger'!$B$6:$B$45,$A32,'Credit Ledger'!$F$6:$F$45)</f>
        <v>1</v>
      </c>
      <c r="D32" s="8" t="n">
        <f aca="false">SUMIF('Credit Ledger'!$B$6:$B$45,$A32,'Credit Ledger'!$H$6:$H$45)</f>
        <v>1200</v>
      </c>
      <c r="E32" s="8" t="n">
        <f aca="false">SUMIF('Credit Ledger'!$B$6:$B$45,$A32,'Credit Ledger'!$I$6:$I$45)</f>
        <v>0</v>
      </c>
      <c r="F32" s="8" t="n">
        <f aca="false">D32-E32</f>
        <v>1200</v>
      </c>
      <c r="G32" s="9" t="str">
        <f aca="false">IF(ROUND(F32,2)&lt;0,"OVERPAID",IF(ROUND(F32,2)=0,"PAID",IF(E32&gt;0,"PARTIAL","UNPAID")))</f>
        <v>UNPAID</v>
      </c>
    </row>
    <row r="33" customFormat="false" ht="15" hidden="false" customHeight="false" outlineLevel="0" collapsed="false">
      <c r="A33" s="13" t="s">
        <v>25</v>
      </c>
      <c r="B33" s="12" t="n">
        <f aca="false">COUNTIF('Credit Ledger'!$B$6:$B$45,$A33)</f>
        <v>1</v>
      </c>
      <c r="C33" s="12" t="n">
        <f aca="false">SUMIF('Credit Ledger'!$B$6:$B$45,$A33,'Credit Ledger'!$F$6:$F$45)</f>
        <v>1</v>
      </c>
      <c r="D33" s="15" t="n">
        <f aca="false">SUMIF('Credit Ledger'!$B$6:$B$45,$A33,'Credit Ledger'!$H$6:$H$45)</f>
        <v>1400</v>
      </c>
      <c r="E33" s="15" t="n">
        <f aca="false">SUMIF('Credit Ledger'!$B$6:$B$45,$A33,'Credit Ledger'!$I$6:$I$45)</f>
        <v>0</v>
      </c>
      <c r="F33" s="15" t="n">
        <f aca="false">D33-E33</f>
        <v>1400</v>
      </c>
      <c r="G33" s="16" t="str">
        <f aca="false">IF(ROUND(F33,2)&lt;0,"OVERPAID",IF(ROUND(F33,2)=0,"PAID",IF(E33&gt;0,"PARTIAL","UNPAID")))</f>
        <v>UNPAID</v>
      </c>
    </row>
    <row r="34" customFormat="false" ht="15" hidden="false" customHeight="false" outlineLevel="0" collapsed="false">
      <c r="A34" s="6" t="s">
        <v>39</v>
      </c>
      <c r="B34" s="5" t="n">
        <f aca="false">COUNTIF('Credit Ledger'!$B$6:$B$45,$A34)</f>
        <v>1</v>
      </c>
      <c r="C34" s="5" t="n">
        <f aca="false">SUMIF('Credit Ledger'!$B$6:$B$45,$A34,'Credit Ledger'!$F$6:$F$45)</f>
        <v>1</v>
      </c>
      <c r="D34" s="8" t="n">
        <f aca="false">SUMIF('Credit Ledger'!$B$6:$B$45,$A34,'Credit Ledger'!$H$6:$H$45)</f>
        <v>1400</v>
      </c>
      <c r="E34" s="8" t="n">
        <f aca="false">SUMIF('Credit Ledger'!$B$6:$B$45,$A34,'Credit Ledger'!$I$6:$I$45)</f>
        <v>0</v>
      </c>
      <c r="F34" s="8" t="n">
        <f aca="false">D34-E34</f>
        <v>1400</v>
      </c>
      <c r="G34" s="9" t="str">
        <f aca="false">IF(ROUND(F34,2)&lt;0,"OVERPAID",IF(ROUND(F34,2)=0,"PAID",IF(E34&gt;0,"PARTIAL","UNPAID")))</f>
        <v>UNPAID</v>
      </c>
    </row>
    <row r="36" customFormat="false" ht="15" hidden="false" customHeight="false" outlineLevel="0" collapsed="false">
      <c r="A36" s="33" t="s">
        <v>80</v>
      </c>
      <c r="B36" s="34" t="n">
        <f aca="false">SUM(B6:B34)</f>
        <v>40</v>
      </c>
      <c r="C36" s="34" t="n">
        <f aca="false">SUM(C6:C34)</f>
        <v>66</v>
      </c>
      <c r="D36" s="35" t="n">
        <f aca="false">SUM(D6:D34)</f>
        <v>106000</v>
      </c>
      <c r="E36" s="35" t="n">
        <f aca="false">SUM(E6:E34)</f>
        <v>0</v>
      </c>
      <c r="F36" s="35" t="n">
        <f aca="false">SUM(F6:F34)</f>
        <v>106000</v>
      </c>
      <c r="G36" s="33"/>
    </row>
    <row r="38" customFormat="false" ht="15" hidden="false" customHeight="false" outlineLevel="0" collapsed="false">
      <c r="A38" s="50" t="s">
        <v>81</v>
      </c>
    </row>
  </sheetData>
  <autoFilter ref="A5:G34"/>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9"/>
    <col collapsed="false" customWidth="true" hidden="false" outlineLevel="0" max="4" min="4" style="0" width="12"/>
    <col collapsed="false" customWidth="true" hidden="false" outlineLevel="0" max="5" min="5" style="0" width="16"/>
    <col collapsed="false" customWidth="true" hidden="false" outlineLevel="0" max="6" min="6" style="0" width="18"/>
    <col collapsed="false" customWidth="true" hidden="false" outlineLevel="0" max="7" min="7" style="0" width="16"/>
  </cols>
  <sheetData>
    <row r="1" customFormat="false" ht="21.75" hidden="false" customHeight="true" outlineLevel="0" collapsed="false">
      <c r="A1" s="1" t="s">
        <v>82</v>
      </c>
      <c r="B1" s="1"/>
      <c r="C1" s="1"/>
      <c r="D1" s="1"/>
      <c r="E1" s="1"/>
      <c r="F1" s="1"/>
      <c r="G1" s="1"/>
    </row>
    <row r="2" customFormat="false" ht="15" hidden="false" customHeight="false" outlineLevel="0" collapsed="false">
      <c r="A2" s="2" t="s">
        <v>83</v>
      </c>
      <c r="B2" s="2"/>
      <c r="C2" s="2"/>
      <c r="D2" s="2"/>
      <c r="E2" s="2"/>
      <c r="F2" s="2"/>
      <c r="G2" s="2"/>
    </row>
    <row r="3" customFormat="false" ht="15.75" hidden="false" customHeight="true" outlineLevel="0" collapsed="false">
      <c r="A3" s="3" t="s">
        <v>84</v>
      </c>
      <c r="B3" s="3"/>
      <c r="C3" s="3"/>
      <c r="D3" s="3"/>
      <c r="E3" s="3"/>
      <c r="F3" s="3"/>
      <c r="G3" s="3"/>
    </row>
    <row r="5" customFormat="false" ht="30" hidden="false" customHeight="true" outlineLevel="0" collapsed="false">
      <c r="A5" s="4" t="s">
        <v>4</v>
      </c>
      <c r="B5" s="4" t="s">
        <v>6</v>
      </c>
      <c r="C5" s="4" t="s">
        <v>7</v>
      </c>
      <c r="D5" s="4" t="s">
        <v>8</v>
      </c>
      <c r="E5" s="4" t="s">
        <v>9</v>
      </c>
      <c r="F5" s="4" t="s">
        <v>10</v>
      </c>
      <c r="G5" s="4" t="s">
        <v>85</v>
      </c>
    </row>
    <row r="6" customFormat="false" ht="15" hidden="false" customHeight="false" outlineLevel="0" collapsed="false">
      <c r="A6" s="6" t="s">
        <v>86</v>
      </c>
      <c r="B6" s="7" t="n">
        <v>46191</v>
      </c>
      <c r="C6" s="6" t="s">
        <v>20</v>
      </c>
      <c r="D6" s="5" t="n">
        <v>2</v>
      </c>
      <c r="E6" s="8" t="n">
        <v>1300</v>
      </c>
      <c r="F6" s="8" t="n">
        <f aca="false">D6*E6</f>
        <v>2600</v>
      </c>
      <c r="G6" s="5" t="s">
        <v>70</v>
      </c>
    </row>
    <row r="7" customFormat="false" ht="15" hidden="false" customHeight="false" outlineLevel="0" collapsed="false">
      <c r="A7" s="6" t="s">
        <v>87</v>
      </c>
      <c r="B7" s="7" t="n">
        <v>46193</v>
      </c>
      <c r="C7" s="6" t="s">
        <v>20</v>
      </c>
      <c r="D7" s="5" t="n">
        <v>1</v>
      </c>
      <c r="E7" s="8" t="n">
        <v>1300</v>
      </c>
      <c r="F7" s="8" t="n">
        <f aca="false">D7*E7</f>
        <v>1300</v>
      </c>
      <c r="G7" s="5" t="s">
        <v>70</v>
      </c>
    </row>
  </sheetData>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2026-08-29T05:27:34Z</dcterms:created>
  <dc:creator>openpyxl</dc:creator>
  <dc:description/>
  <dc:language>en-US</dc:language>
  <cp:lastModifiedBy/>
  <dcterms:modified xsi:type="dcterms:W3CDTF">2026-08-29T05:27:34Z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